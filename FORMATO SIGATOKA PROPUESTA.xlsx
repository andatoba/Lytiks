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GROTECBAN\2025 AGROTECBAN\2025 FORMATOS\2025 FORMATO SIGATOKA ING JULIO\"/>
    </mc:Choice>
  </mc:AlternateContent>
  <xr:revisionPtr revIDLastSave="0" documentId="13_ncr:1_{703B6523-94F9-4AB5-B1D2-7DD0FE2B7CE9}" xr6:coauthVersionLast="47" xr6:coauthVersionMax="47" xr10:uidLastSave="{00000000-0000-0000-0000-000000000000}"/>
  <bookViews>
    <workbookView xWindow="-120" yWindow="-120" windowWidth="20730" windowHeight="11160" tabRatio="796" firstSheet="1" activeTab="1" xr2:uid="{00000000-000D-0000-FFFF-FFFF00000000}"/>
  </bookViews>
  <sheets>
    <sheet name="RIO VERDE 1 ARRIBA" sheetId="1" state="hidden" r:id="rId1"/>
    <sheet name="PROPUESTA" sheetId="27" r:id="rId2"/>
  </sheets>
  <definedNames>
    <definedName name="_xlnm.Print_Area" localSheetId="1">PROPUESTA!$A$2:$P$39</definedName>
    <definedName name="_xlnm.Print_Area" localSheetId="0">'RIO VERDE 1 ARRIBA'!$A$1:$X$42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27" l="1"/>
  <c r="H31" i="27"/>
  <c r="G31" i="27"/>
  <c r="F31" i="27"/>
  <c r="P30" i="27"/>
  <c r="O30" i="27"/>
  <c r="N30" i="27"/>
  <c r="H30" i="27"/>
  <c r="G30" i="27"/>
  <c r="F30" i="27"/>
  <c r="H29" i="27"/>
  <c r="G29" i="27"/>
  <c r="F29" i="27"/>
  <c r="P24" i="27"/>
  <c r="O24" i="27"/>
  <c r="N24" i="27"/>
  <c r="M24" i="27"/>
  <c r="L24" i="27"/>
  <c r="K24" i="27"/>
  <c r="J24" i="27"/>
  <c r="I24" i="27"/>
  <c r="A24" i="27"/>
  <c r="F27" i="27" s="1"/>
  <c r="F28" i="27" s="1"/>
  <c r="O15" i="27"/>
  <c r="N15" i="27"/>
  <c r="M15" i="27"/>
  <c r="L15" i="27"/>
  <c r="G9" i="27"/>
  <c r="B9" i="27"/>
  <c r="O14" i="27"/>
  <c r="N14" i="27"/>
  <c r="M14" i="27"/>
  <c r="L14" i="27"/>
  <c r="P29" i="1"/>
  <c r="O29" i="1"/>
  <c r="N29" i="1"/>
  <c r="N31" i="27" l="1"/>
  <c r="P31" i="27"/>
  <c r="N32" i="27"/>
  <c r="N29" i="27"/>
  <c r="N28" i="27"/>
  <c r="N27" i="27"/>
  <c r="G27" i="27"/>
  <c r="G28" i="27" s="1"/>
  <c r="O29" i="27" s="1"/>
  <c r="H27" i="27"/>
  <c r="H28" i="27" s="1"/>
  <c r="O31" i="27"/>
  <c r="M3" i="27" l="1"/>
  <c r="N3" i="27" s="1" a="1"/>
  <c r="N3" i="27" s="1"/>
  <c r="P32" i="27"/>
  <c r="P27" i="27"/>
  <c r="O28" i="27"/>
  <c r="O27" i="27"/>
  <c r="O32" i="27"/>
  <c r="P29" i="27"/>
  <c r="P28" i="27"/>
  <c r="F24" i="27" l="1"/>
  <c r="M5" i="27"/>
  <c r="M4" i="27"/>
  <c r="G24" i="27" l="1"/>
  <c r="N4" i="27" a="1"/>
  <c r="N4" i="27" s="1"/>
  <c r="H24" i="27"/>
  <c r="N5" i="27" a="1"/>
  <c r="N5" i="27" s="1"/>
  <c r="A25" i="1" l="1"/>
  <c r="G9" i="1" l="1"/>
  <c r="B9" i="1" l="1"/>
  <c r="P31" i="1" l="1"/>
  <c r="O31" i="1"/>
  <c r="N31" i="1"/>
  <c r="O10" i="1"/>
  <c r="N10" i="1"/>
  <c r="M10" i="1"/>
  <c r="L10" i="1"/>
  <c r="O9" i="1"/>
  <c r="N9" i="1"/>
  <c r="M9" i="1"/>
  <c r="L9" i="1"/>
  <c r="O8" i="1"/>
  <c r="N8" i="1"/>
  <c r="M8" i="1"/>
  <c r="L8" i="1"/>
  <c r="O11" i="1"/>
  <c r="N11" i="1"/>
  <c r="M11" i="1"/>
  <c r="L11" i="1"/>
  <c r="X25" i="1"/>
  <c r="W25" i="1"/>
  <c r="V25" i="1"/>
  <c r="U25" i="1"/>
  <c r="T25" i="1"/>
  <c r="S25" i="1"/>
  <c r="R25" i="1"/>
  <c r="Q25" i="1"/>
  <c r="H32" i="1"/>
  <c r="G32" i="1"/>
  <c r="H31" i="1"/>
  <c r="G31" i="1"/>
  <c r="H30" i="1"/>
  <c r="G30" i="1"/>
  <c r="F32" i="1"/>
  <c r="F31" i="1"/>
  <c r="P25" i="1"/>
  <c r="O25" i="1"/>
  <c r="N25" i="1"/>
  <c r="M25" i="1"/>
  <c r="L25" i="1"/>
  <c r="K25" i="1"/>
  <c r="J25" i="1"/>
  <c r="I25" i="1"/>
  <c r="F30" i="1"/>
  <c r="B41" i="1" l="1"/>
  <c r="N32" i="1" l="1"/>
  <c r="O32" i="1"/>
  <c r="P32" i="1"/>
  <c r="H28" i="1"/>
  <c r="F28" i="1"/>
  <c r="G28" i="1"/>
  <c r="N28" i="1" l="1"/>
  <c r="N33" i="1"/>
  <c r="O33" i="1"/>
  <c r="O28" i="1"/>
  <c r="P28" i="1"/>
  <c r="P33" i="1"/>
  <c r="G29" i="1"/>
  <c r="O30" i="1" s="1"/>
  <c r="H29" i="1"/>
  <c r="P30" i="1" s="1"/>
  <c r="F29" i="1"/>
  <c r="N30" i="1" s="1"/>
  <c r="M2" i="1" l="1"/>
  <c r="M4" i="1"/>
  <c r="M3" i="1"/>
  <c r="G25" i="1" l="1"/>
  <c r="H25" i="1"/>
  <c r="F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<sst xmlns="http://schemas.openxmlformats.org/spreadsheetml/2006/main" count="231" uniqueCount="81">
  <si>
    <t>H.V.L.Q.5%</t>
  </si>
  <si>
    <t>T.H.</t>
  </si>
  <si>
    <t>H.V.L.Q.</t>
  </si>
  <si>
    <t>H.V.L.E.</t>
  </si>
  <si>
    <t>Evaluador:</t>
  </si>
  <si>
    <t>Fecha de muestreo:</t>
  </si>
  <si>
    <t>Fecha de ultima fumigacion:</t>
  </si>
  <si>
    <t>Hacienda:</t>
  </si>
  <si>
    <t>Semana:</t>
  </si>
  <si>
    <t>3era.H</t>
  </si>
  <si>
    <t>4ta.H</t>
  </si>
  <si>
    <t xml:space="preserve">f) Promedio lesiones </t>
  </si>
  <si>
    <t xml:space="preserve">a) Total Plantas Muestreada </t>
  </si>
  <si>
    <t xml:space="preserve">b) Total Plantas con lesiones  </t>
  </si>
  <si>
    <t xml:space="preserve">c) Total lesiones </t>
  </si>
  <si>
    <t xml:space="preserve">d) Total Plantas con 3eros estadios </t>
  </si>
  <si>
    <t xml:space="preserve">e) Total de las letras </t>
  </si>
  <si>
    <t xml:space="preserve">h)%plantas con Lesiones  </t>
  </si>
  <si>
    <t xml:space="preserve">i)Total Hojas Funcionales </t>
  </si>
  <si>
    <t xml:space="preserve">j)Promedio Hojas Funcionales x Plantas </t>
  </si>
  <si>
    <t>3era Hoja EE= f x 120 x k</t>
  </si>
  <si>
    <t>f =</t>
  </si>
  <si>
    <t>a</t>
  </si>
  <si>
    <t>h=</t>
  </si>
  <si>
    <t>x 100</t>
  </si>
  <si>
    <t>k=</t>
  </si>
  <si>
    <t>g=</t>
  </si>
  <si>
    <t>j=</t>
  </si>
  <si>
    <t>b</t>
  </si>
  <si>
    <t>d</t>
  </si>
  <si>
    <t>i</t>
  </si>
  <si>
    <t xml:space="preserve">f) Inspector Fitosanitario </t>
  </si>
  <si>
    <t xml:space="preserve">g)%plantas con 3eros estadios </t>
  </si>
  <si>
    <t>Còdigo:</t>
  </si>
  <si>
    <t>Total Hojas
en
3era</t>
  </si>
  <si>
    <t>Total Hojas
en
4ta</t>
  </si>
  <si>
    <t>H.V.L.Q.
5%</t>
  </si>
  <si>
    <t>4ta
Hoja</t>
  </si>
  <si>
    <t>2a</t>
  </si>
  <si>
    <t>k) Promedio de las letras</t>
  </si>
  <si>
    <t>Nombre:</t>
  </si>
  <si>
    <t>Periodo</t>
  </si>
  <si>
    <t xml:space="preserve">f) Jefe Fitosanitario </t>
  </si>
  <si>
    <t>Has:</t>
  </si>
  <si>
    <t xml:space="preserve"> </t>
  </si>
  <si>
    <t>5ta
Hoja</t>
  </si>
  <si>
    <t>Total Hojas
en
5ta</t>
  </si>
  <si>
    <t xml:space="preserve">"0"  SEMANAS </t>
  </si>
  <si>
    <t xml:space="preserve">"6"  SEMANAS </t>
  </si>
  <si>
    <t>PREVENTIVA  +3</t>
  </si>
  <si>
    <t>5ta.H</t>
  </si>
  <si>
    <t>PREV. +3</t>
  </si>
  <si>
    <t>4ta Hoja EE= f x 100 x k</t>
  </si>
  <si>
    <t>"0"Semana</t>
  </si>
  <si>
    <t>5ta Hoja EE= f x 80 x k</t>
  </si>
  <si>
    <t>"6"Semana</t>
  </si>
  <si>
    <t>"10"Semana</t>
  </si>
  <si>
    <t xml:space="preserve">"11"  SEMANAS </t>
  </si>
  <si>
    <t>3a</t>
  </si>
  <si>
    <t>3b</t>
  </si>
  <si>
    <t xml:space="preserve">     Reporte Chequeo de Sigatoka </t>
  </si>
  <si>
    <t>ORLY PANTA CEDEÑO</t>
  </si>
  <si>
    <t>Muestra
#</t>
  </si>
  <si>
    <t xml:space="preserve">   LOTE 
#</t>
  </si>
  <si>
    <t>ESTADO EVOLUTIVO</t>
  </si>
  <si>
    <t>PLANTAS</t>
  </si>
  <si>
    <t xml:space="preserve">3era
Hoja  </t>
  </si>
  <si>
    <t>ALTO</t>
  </si>
  <si>
    <t>GENERAL</t>
  </si>
  <si>
    <t>2b</t>
  </si>
  <si>
    <t>HDA RECUERDO</t>
  </si>
  <si>
    <t>AGROTECBAN</t>
  </si>
  <si>
    <t>STOVER PROMEDIO REAL</t>
  </si>
  <si>
    <t>c</t>
  </si>
  <si>
    <t>e</t>
  </si>
  <si>
    <t>NIVELES STOVER RECOMEDADOS</t>
  </si>
  <si>
    <t>BAJO</t>
  </si>
  <si>
    <t>MODERADO</t>
  </si>
  <si>
    <t xml:space="preserve">"10"  SEMANAS </t>
  </si>
  <si>
    <t>3c</t>
  </si>
  <si>
    <t>TECNICO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</si>
</sst>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0.0"/>
    <numFmt numFmtId="167" formatCode="[$-F800]dddd\,\ mmmm\ dd\,\ yyyy"/>
    <numFmt numFmtId="168" formatCode="mm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sz val="8"/>
      <color theme="1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2" xfId="0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5" xfId="0" applyBorder="1"/>
    <xf numFmtId="0" fontId="5" fillId="0" borderId="0" xfId="0" applyFont="1" applyAlignment="1">
      <alignment vertic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66" fontId="0" fillId="0" borderId="14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166" fontId="0" fillId="0" borderId="16" xfId="0" applyNumberForma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0" fillId="3" borderId="0" xfId="0" applyFill="1"/>
    <xf numFmtId="0" fontId="1" fillId="0" borderId="2" xfId="0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0" fillId="0" borderId="14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3" fontId="0" fillId="2" borderId="22" xfId="0" applyNumberFormat="1" applyFill="1" applyBorder="1" applyAlignment="1">
      <alignment horizontal="center" vertical="center"/>
    </xf>
    <xf numFmtId="3" fontId="0" fillId="2" borderId="19" xfId="0" applyNumberFormat="1" applyFill="1" applyBorder="1" applyAlignment="1">
      <alignment horizontal="center" vertical="center"/>
    </xf>
    <xf numFmtId="3" fontId="0" fillId="2" borderId="20" xfId="0" applyNumberFormat="1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3" fontId="0" fillId="2" borderId="23" xfId="0" applyNumberFormat="1" applyFill="1" applyBorder="1" applyAlignment="1">
      <alignment horizontal="center" vertical="center"/>
    </xf>
    <xf numFmtId="3" fontId="0" fillId="2" borderId="24" xfId="0" applyNumberForma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1" fontId="13" fillId="0" borderId="2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" fontId="8" fillId="3" borderId="0" xfId="0" applyNumberFormat="1" applyFont="1" applyFill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0" xfId="0" applyFill="1" applyAlignment="1">
      <alignment shrinkToFit="1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5" xfId="0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68" fontId="0" fillId="0" borderId="2" xfId="0" quotePrefix="1" applyNumberFormat="1" applyBorder="1" applyAlignment="1">
      <alignment horizontal="left"/>
    </xf>
    <xf numFmtId="168" fontId="0" fillId="0" borderId="2" xfId="0" applyNumberFormat="1" applyBorder="1" applyAlignment="1">
      <alignment horizontal="left"/>
    </xf>
    <xf numFmtId="0" fontId="10" fillId="0" borderId="0" xfId="0" applyFont="1" applyAlignment="1">
      <alignment horizontal="left"/>
    </xf>
    <xf numFmtId="164" fontId="1" fillId="3" borderId="0" xfId="0" applyNumberFormat="1" applyFont="1" applyFill="1" applyAlignment="1">
      <alignment horizontal="center" vertical="center"/>
    </xf>
    <xf numFmtId="0" fontId="6" fillId="0" borderId="0" xfId="0" applyFont="1"/>
    <xf numFmtId="0" fontId="14" fillId="0" borderId="0" xfId="0" applyFont="1" applyAlignment="1">
      <alignment vertical="center" textRotation="255"/>
    </xf>
    <xf numFmtId="0" fontId="11" fillId="3" borderId="9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vertical="center"/>
    </xf>
    <xf numFmtId="0" fontId="11" fillId="4" borderId="4" xfId="0" applyFont="1" applyFill="1" applyBorder="1" applyAlignment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center" vertical="center"/>
    </xf>
    <xf numFmtId="1" fontId="8" fillId="3" borderId="5" xfId="0" applyNumberFormat="1" applyFont="1" applyFill="1" applyBorder="1" applyAlignment="1">
      <alignment horizontal="center"/>
    </xf>
    <xf numFmtId="0" fontId="9" fillId="0" borderId="4" xfId="0" applyFont="1" applyBorder="1"/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2" xfId="0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2" xfId="0" applyBorder="1" applyAlignment="1">
      <alignment horizontal="center"/>
    </xf>
    <xf numFmtId="167" fontId="0" fillId="3" borderId="2" xfId="0" applyNumberFormat="1" applyFill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1" fillId="0" borderId="2" xfId="0" quotePrefix="1" applyFont="1" applyBorder="1" applyAlignment="1">
      <alignment horizontal="left"/>
    </xf>
    <xf numFmtId="0" fontId="0" fillId="0" borderId="6" xfId="0" applyBorder="1" applyAlignment="1">
      <alignment horizontal="left"/>
    </xf>
    <xf numFmtId="168" fontId="0" fillId="0" borderId="2" xfId="0" quotePrefix="1" applyNumberFormat="1" applyBorder="1" applyAlignment="1">
      <alignment horizontal="left"/>
    </xf>
    <xf numFmtId="168" fontId="0" fillId="0" borderId="2" xfId="0" applyNumberFormat="1" applyBorder="1" applyAlignment="1">
      <alignment horizontal="left"/>
    </xf>
    <xf numFmtId="0" fontId="1" fillId="0" borderId="1" xfId="0" applyFont="1" applyBorder="1" applyAlignment="1">
      <alignment horizontal="center" vertical="center" wrapText="1" shrinkToFi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 shrinkToFit="1"/>
    </xf>
    <xf numFmtId="0" fontId="1" fillId="0" borderId="8" xfId="0" applyFont="1" applyBorder="1" applyAlignment="1">
      <alignment horizontal="center" vertical="center" wrapText="1" shrinkToFit="1"/>
    </xf>
    <xf numFmtId="167" fontId="0" fillId="0" borderId="2" xfId="0" applyNumberFormat="1" applyBorder="1" applyAlignment="1">
      <alignment horizontal="left"/>
    </xf>
    <xf numFmtId="0" fontId="6" fillId="0" borderId="0" xfId="0" applyFont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6"/>
  <sheetViews>
    <sheetView showGridLines="0" zoomScale="75" zoomScaleNormal="75" zoomScaleSheetLayoutView="70" workbookViewId="0">
      <selection activeCell="Q10" sqref="Q10"/>
    </sheetView>
  </sheetViews>
  <sheetFormatPr baseColWidth="10" defaultRowHeight="15" x14ac:dyDescent="0.25"/>
  <cols>
    <col min="1" max="1" width="9.7109375" customWidth="1"/>
    <col min="2" max="2" width="8.5703125" customWidth="1"/>
    <col min="3" max="3" width="7.85546875" customWidth="1"/>
    <col min="4" max="5" width="5.28515625" bestFit="1" customWidth="1"/>
    <col min="6" max="8" width="9" customWidth="1"/>
    <col min="9" max="9" width="8.140625" bestFit="1" customWidth="1"/>
    <col min="10" max="10" width="7.7109375" customWidth="1"/>
    <col min="11" max="11" width="8.7109375" bestFit="1" customWidth="1"/>
    <col min="12" max="12" width="9.28515625" bestFit="1" customWidth="1"/>
    <col min="13" max="13" width="9.42578125" bestFit="1" customWidth="1"/>
    <col min="14" max="15" width="8.7109375" bestFit="1" customWidth="1"/>
    <col min="16" max="16" width="8" bestFit="1" customWidth="1"/>
    <col min="17" max="17" width="9.140625" bestFit="1" customWidth="1"/>
    <col min="18" max="19" width="8.7109375" bestFit="1" customWidth="1"/>
    <col min="20" max="20" width="9.42578125" bestFit="1" customWidth="1"/>
    <col min="21" max="21" width="8.140625" bestFit="1" customWidth="1"/>
    <col min="22" max="22" width="9.28515625" bestFit="1" customWidth="1"/>
    <col min="23" max="23" width="9.42578125" bestFit="1" customWidth="1"/>
    <col min="24" max="24" width="7" customWidth="1"/>
  </cols>
  <sheetData>
    <row r="1" spans="1:26" ht="26.25" x14ac:dyDescent="0.4">
      <c r="A1" s="92" t="s">
        <v>71</v>
      </c>
      <c r="B1" s="92"/>
      <c r="C1" s="92"/>
      <c r="D1" s="92"/>
      <c r="E1" s="92"/>
      <c r="F1" s="92"/>
      <c r="G1" s="92"/>
      <c r="H1" s="92"/>
      <c r="I1" s="92"/>
      <c r="J1" s="90" t="s">
        <v>64</v>
      </c>
      <c r="K1" s="84"/>
      <c r="L1" s="84"/>
      <c r="M1" s="84"/>
      <c r="O1" s="110" t="s">
        <v>21</v>
      </c>
      <c r="P1" s="29" t="s">
        <v>73</v>
      </c>
      <c r="Q1" s="110" t="s">
        <v>26</v>
      </c>
      <c r="R1" s="29" t="s">
        <v>29</v>
      </c>
      <c r="S1" s="114" t="s">
        <v>25</v>
      </c>
      <c r="T1" s="29" t="s">
        <v>74</v>
      </c>
    </row>
    <row r="2" spans="1:26" ht="18.75" customHeight="1" x14ac:dyDescent="0.3">
      <c r="A2" s="13" t="s">
        <v>60</v>
      </c>
      <c r="B2" s="13"/>
      <c r="C2" s="13"/>
      <c r="D2" s="13"/>
      <c r="E2" s="13"/>
      <c r="F2" s="13"/>
      <c r="G2" s="13"/>
      <c r="H2" s="13"/>
      <c r="I2" s="13"/>
      <c r="J2" t="s">
        <v>20</v>
      </c>
      <c r="M2" s="72">
        <f>120*N28*N33</f>
        <v>288</v>
      </c>
      <c r="O2" s="110"/>
      <c r="P2" s="9" t="s">
        <v>22</v>
      </c>
      <c r="Q2" s="110"/>
      <c r="R2" s="9" t="s">
        <v>28</v>
      </c>
      <c r="S2" s="114"/>
      <c r="T2" s="9" t="s">
        <v>22</v>
      </c>
    </row>
    <row r="3" spans="1:26" ht="18.75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t="s">
        <v>52</v>
      </c>
      <c r="M3" s="72">
        <f>100*O28*O33</f>
        <v>319</v>
      </c>
      <c r="O3" s="35" t="s">
        <v>23</v>
      </c>
      <c r="P3" s="2" t="s">
        <v>24</v>
      </c>
      <c r="Q3" s="35" t="s">
        <v>27</v>
      </c>
      <c r="R3" s="29" t="s">
        <v>30</v>
      </c>
    </row>
    <row r="4" spans="1:26" ht="23.25" x14ac:dyDescent="0.3">
      <c r="A4" s="85"/>
      <c r="B4" s="85"/>
      <c r="C4" s="85"/>
      <c r="D4" s="85"/>
      <c r="E4" s="85"/>
      <c r="F4" s="85"/>
      <c r="G4" s="85"/>
      <c r="H4" s="85"/>
      <c r="I4" s="85"/>
      <c r="J4" t="s">
        <v>54</v>
      </c>
      <c r="M4" s="72">
        <f>80*P28*P33</f>
        <v>408</v>
      </c>
      <c r="O4" s="35"/>
      <c r="P4" s="2"/>
      <c r="Q4" s="35"/>
      <c r="R4" s="9" t="s">
        <v>22</v>
      </c>
    </row>
    <row r="5" spans="1:26" ht="8.25" customHeight="1" x14ac:dyDescent="0.25">
      <c r="A5" s="8"/>
      <c r="B5" s="8"/>
      <c r="C5" s="8"/>
      <c r="D5" s="8"/>
      <c r="E5" s="8"/>
      <c r="F5" s="8"/>
      <c r="G5" s="8"/>
      <c r="H5" s="8"/>
      <c r="X5" s="8"/>
    </row>
    <row r="6" spans="1:26" ht="21" x14ac:dyDescent="0.35">
      <c r="A6" s="2" t="s">
        <v>7</v>
      </c>
      <c r="B6" s="111" t="s">
        <v>70</v>
      </c>
      <c r="C6" s="111"/>
      <c r="D6" s="111"/>
      <c r="E6" s="111"/>
      <c r="F6" s="2" t="s">
        <v>33</v>
      </c>
      <c r="G6" s="116"/>
      <c r="H6" s="116"/>
      <c r="J6" s="108" t="s">
        <v>72</v>
      </c>
      <c r="K6" s="108"/>
      <c r="L6" s="108"/>
      <c r="M6" s="108"/>
      <c r="N6" s="108"/>
      <c r="O6" s="108"/>
      <c r="Q6" s="108" t="s">
        <v>75</v>
      </c>
      <c r="R6" s="108"/>
      <c r="S6" s="108"/>
      <c r="T6" s="108"/>
      <c r="U6" s="108"/>
      <c r="V6" s="108"/>
      <c r="X6" s="2"/>
    </row>
    <row r="7" spans="1:26" ht="24" x14ac:dyDescent="0.25">
      <c r="A7" s="2" t="s">
        <v>6</v>
      </c>
      <c r="D7" s="117"/>
      <c r="E7" s="117"/>
      <c r="F7" s="117"/>
      <c r="G7" s="117"/>
      <c r="H7" s="117"/>
      <c r="J7" s="46" t="s">
        <v>65</v>
      </c>
      <c r="K7" s="47"/>
      <c r="L7" s="26" t="s">
        <v>3</v>
      </c>
      <c r="M7" s="26" t="s">
        <v>2</v>
      </c>
      <c r="N7" s="27" t="s">
        <v>0</v>
      </c>
      <c r="O7" s="26" t="s">
        <v>1</v>
      </c>
      <c r="Q7" s="97" t="s">
        <v>65</v>
      </c>
      <c r="R7" s="98"/>
      <c r="S7" s="99" t="s">
        <v>3</v>
      </c>
      <c r="T7" s="99" t="s">
        <v>2</v>
      </c>
      <c r="U7" s="100" t="s">
        <v>0</v>
      </c>
      <c r="V7" s="99" t="s">
        <v>1</v>
      </c>
    </row>
    <row r="8" spans="1:26" x14ac:dyDescent="0.25">
      <c r="A8" s="2" t="s">
        <v>5</v>
      </c>
      <c r="C8" s="118">
        <v>45034</v>
      </c>
      <c r="D8" s="118"/>
      <c r="E8" s="118"/>
      <c r="F8" s="118"/>
      <c r="G8" s="118"/>
      <c r="H8" s="118"/>
      <c r="J8" s="48" t="s">
        <v>53</v>
      </c>
      <c r="K8" s="49"/>
      <c r="L8" s="10">
        <f>AVERAGE(I15:I24)</f>
        <v>6.4</v>
      </c>
      <c r="M8" s="10">
        <f>AVERAGE(J15:J24)</f>
        <v>13.6</v>
      </c>
      <c r="N8" s="10">
        <f>AVERAGE(K15:K24)</f>
        <v>14.3</v>
      </c>
      <c r="O8" s="10">
        <f>AVERAGE(L15:L24)</f>
        <v>14.3</v>
      </c>
      <c r="Q8" s="101" t="s">
        <v>53</v>
      </c>
      <c r="R8" s="102"/>
      <c r="S8" s="103">
        <v>6</v>
      </c>
      <c r="T8" s="103">
        <v>11</v>
      </c>
      <c r="U8" s="103">
        <v>12.5</v>
      </c>
      <c r="V8" s="103">
        <v>13.5</v>
      </c>
    </row>
    <row r="9" spans="1:26" x14ac:dyDescent="0.25">
      <c r="A9" s="2" t="s">
        <v>8</v>
      </c>
      <c r="B9" s="119">
        <f>+_xlfn.ISOWEEKNUM(C8)</f>
        <v>16</v>
      </c>
      <c r="C9" s="119"/>
      <c r="D9" s="119"/>
      <c r="E9" s="119"/>
      <c r="F9" s="2" t="s">
        <v>41</v>
      </c>
      <c r="G9" s="121">
        <f>+C8</f>
        <v>45034</v>
      </c>
      <c r="H9" s="122"/>
      <c r="J9" s="48" t="s">
        <v>55</v>
      </c>
      <c r="K9" s="49"/>
      <c r="L9" s="10">
        <f>AVERAGE(M15:M24)</f>
        <v>2.7</v>
      </c>
      <c r="M9" s="10">
        <f>AVERAGE(N15:N24)</f>
        <v>10.5</v>
      </c>
      <c r="N9" s="10">
        <f>AVERAGE(O15:O24)</f>
        <v>10.8</v>
      </c>
      <c r="O9" s="10">
        <f>AVERAGE(P15:P24)</f>
        <v>10.8</v>
      </c>
      <c r="Q9" s="101" t="s">
        <v>55</v>
      </c>
      <c r="R9" s="102"/>
      <c r="S9" s="103"/>
      <c r="T9" s="103"/>
      <c r="U9" s="103"/>
      <c r="V9" s="103"/>
      <c r="X9" s="2"/>
      <c r="Y9" s="2"/>
      <c r="Z9" s="2"/>
    </row>
    <row r="10" spans="1:26" x14ac:dyDescent="0.25">
      <c r="A10" s="2" t="s">
        <v>4</v>
      </c>
      <c r="B10" s="12" t="s">
        <v>61</v>
      </c>
      <c r="C10" s="12"/>
      <c r="D10" s="12"/>
      <c r="E10" s="12"/>
      <c r="F10" s="2" t="s">
        <v>43</v>
      </c>
      <c r="G10" s="111">
        <v>148</v>
      </c>
      <c r="H10" s="111"/>
      <c r="J10" s="48" t="s">
        <v>56</v>
      </c>
      <c r="K10" s="49"/>
      <c r="L10" s="10">
        <f>AVERAGE(Q15:Q24)</f>
        <v>0</v>
      </c>
      <c r="M10" s="10">
        <f>AVERAGE(R15:R24)</f>
        <v>7.9</v>
      </c>
      <c r="N10" s="10">
        <f>AVERAGE(S15:S24)</f>
        <v>9.4</v>
      </c>
      <c r="O10" s="10">
        <f>AVERAGE(T15:T24)</f>
        <v>9.5</v>
      </c>
      <c r="Q10" s="101" t="s">
        <v>56</v>
      </c>
      <c r="R10" s="102"/>
      <c r="S10" s="103">
        <v>0</v>
      </c>
      <c r="T10" s="103">
        <v>5</v>
      </c>
      <c r="U10" s="103">
        <v>8.5</v>
      </c>
      <c r="V10" s="103">
        <v>9</v>
      </c>
      <c r="X10" s="2"/>
      <c r="Y10" s="2"/>
      <c r="Z10" s="2"/>
    </row>
    <row r="11" spans="1:26" x14ac:dyDescent="0.25">
      <c r="A11" s="2"/>
      <c r="B11" s="1"/>
      <c r="F11" s="2"/>
      <c r="G11" s="78"/>
      <c r="H11" s="78"/>
      <c r="I11" s="35"/>
      <c r="J11" s="94" t="s">
        <v>51</v>
      </c>
      <c r="K11" s="95"/>
      <c r="L11" s="96">
        <f>AVERAGE(U15:U24)</f>
        <v>6.2</v>
      </c>
      <c r="M11" s="96">
        <f>AVERAGE(V15:V24)</f>
        <v>12.5</v>
      </c>
      <c r="N11" s="96">
        <f>AVERAGE(W15:W24)</f>
        <v>12.5</v>
      </c>
      <c r="O11" s="96">
        <f>AVERAGE(X15:X24)</f>
        <v>12.5</v>
      </c>
      <c r="P11" s="28"/>
      <c r="Q11" s="97" t="s">
        <v>51</v>
      </c>
      <c r="R11" s="98"/>
      <c r="S11" s="103">
        <v>9.1999999999999993</v>
      </c>
      <c r="T11" s="103">
        <v>11.2</v>
      </c>
      <c r="U11" s="103">
        <v>11.2</v>
      </c>
      <c r="V11" s="103">
        <v>11.2</v>
      </c>
      <c r="W11" s="91"/>
      <c r="X11" s="91"/>
    </row>
    <row r="12" spans="1:26" ht="12.6" customHeight="1" x14ac:dyDescent="0.25">
      <c r="A12" s="2"/>
      <c r="B12" s="1"/>
    </row>
    <row r="13" spans="1:26" ht="26.45" customHeight="1" x14ac:dyDescent="0.25">
      <c r="A13" s="123" t="s">
        <v>62</v>
      </c>
      <c r="B13" s="125" t="s">
        <v>63</v>
      </c>
      <c r="C13" s="124" t="s">
        <v>66</v>
      </c>
      <c r="D13" s="113" t="s">
        <v>37</v>
      </c>
      <c r="E13" s="112" t="s">
        <v>45</v>
      </c>
      <c r="F13" s="124" t="s">
        <v>34</v>
      </c>
      <c r="G13" s="113" t="s">
        <v>35</v>
      </c>
      <c r="H13" s="112" t="s">
        <v>46</v>
      </c>
      <c r="I13" s="109" t="s">
        <v>47</v>
      </c>
      <c r="J13" s="109"/>
      <c r="K13" s="109"/>
      <c r="L13" s="109"/>
      <c r="M13" s="109" t="s">
        <v>48</v>
      </c>
      <c r="N13" s="109"/>
      <c r="O13" s="109"/>
      <c r="P13" s="109"/>
      <c r="Q13" s="109" t="s">
        <v>57</v>
      </c>
      <c r="R13" s="109"/>
      <c r="S13" s="109"/>
      <c r="T13" s="109"/>
      <c r="U13" s="109" t="s">
        <v>49</v>
      </c>
      <c r="V13" s="109"/>
      <c r="W13" s="109"/>
      <c r="X13" s="109"/>
    </row>
    <row r="14" spans="1:26" ht="30" x14ac:dyDescent="0.25">
      <c r="A14" s="123"/>
      <c r="B14" s="126"/>
      <c r="C14" s="124"/>
      <c r="D14" s="113"/>
      <c r="E14" s="112"/>
      <c r="F14" s="124"/>
      <c r="G14" s="113"/>
      <c r="H14" s="112"/>
      <c r="I14" s="36" t="s">
        <v>3</v>
      </c>
      <c r="J14" s="45" t="s">
        <v>2</v>
      </c>
      <c r="K14" s="50" t="s">
        <v>36</v>
      </c>
      <c r="L14" s="37" t="s">
        <v>1</v>
      </c>
      <c r="M14" s="36" t="s">
        <v>3</v>
      </c>
      <c r="N14" s="45" t="s">
        <v>2</v>
      </c>
      <c r="O14" s="50" t="s">
        <v>36</v>
      </c>
      <c r="P14" s="37" t="s">
        <v>1</v>
      </c>
      <c r="Q14" s="36" t="s">
        <v>3</v>
      </c>
      <c r="R14" s="45" t="s">
        <v>2</v>
      </c>
      <c r="S14" s="50" t="s">
        <v>36</v>
      </c>
      <c r="T14" s="37" t="s">
        <v>1</v>
      </c>
      <c r="U14" s="36" t="s">
        <v>3</v>
      </c>
      <c r="V14" s="45" t="s">
        <v>2</v>
      </c>
      <c r="W14" s="50" t="s">
        <v>36</v>
      </c>
      <c r="X14" s="37" t="s">
        <v>1</v>
      </c>
    </row>
    <row r="15" spans="1:26" ht="17.25" customHeight="1" x14ac:dyDescent="0.25">
      <c r="A15" s="52">
        <v>1</v>
      </c>
      <c r="B15" s="52">
        <v>1</v>
      </c>
      <c r="C15" s="53" t="s">
        <v>38</v>
      </c>
      <c r="D15" s="54" t="s">
        <v>38</v>
      </c>
      <c r="E15" s="55" t="s">
        <v>58</v>
      </c>
      <c r="F15" s="53">
        <v>12</v>
      </c>
      <c r="G15" s="54">
        <v>12</v>
      </c>
      <c r="H15" s="55">
        <v>12</v>
      </c>
      <c r="I15" s="53">
        <v>7</v>
      </c>
      <c r="J15" s="54">
        <v>14</v>
      </c>
      <c r="K15" s="54">
        <v>14</v>
      </c>
      <c r="L15" s="55">
        <v>14</v>
      </c>
      <c r="M15" s="53">
        <v>3</v>
      </c>
      <c r="N15" s="54">
        <v>10</v>
      </c>
      <c r="O15" s="54">
        <v>10</v>
      </c>
      <c r="P15" s="55">
        <v>10</v>
      </c>
      <c r="Q15" s="53">
        <v>0</v>
      </c>
      <c r="R15" s="54">
        <v>8</v>
      </c>
      <c r="S15" s="54">
        <v>9</v>
      </c>
      <c r="T15" s="55">
        <v>9</v>
      </c>
      <c r="U15" s="56">
        <v>7</v>
      </c>
      <c r="V15" s="57">
        <v>12</v>
      </c>
      <c r="W15" s="57">
        <v>12</v>
      </c>
      <c r="X15" s="58">
        <v>12</v>
      </c>
    </row>
    <row r="16" spans="1:26" ht="17.25" customHeight="1" x14ac:dyDescent="0.25">
      <c r="A16" s="59">
        <v>2</v>
      </c>
      <c r="B16" s="59">
        <v>2</v>
      </c>
      <c r="C16" s="60" t="s">
        <v>38</v>
      </c>
      <c r="D16" s="61" t="s">
        <v>58</v>
      </c>
      <c r="E16" s="62" t="s">
        <v>59</v>
      </c>
      <c r="F16" s="60">
        <v>12</v>
      </c>
      <c r="G16" s="61">
        <v>11</v>
      </c>
      <c r="H16" s="62">
        <v>12</v>
      </c>
      <c r="I16" s="60">
        <v>6</v>
      </c>
      <c r="J16" s="61">
        <v>14</v>
      </c>
      <c r="K16" s="61">
        <v>15</v>
      </c>
      <c r="L16" s="62">
        <v>15</v>
      </c>
      <c r="M16" s="60">
        <v>3</v>
      </c>
      <c r="N16" s="61">
        <v>11</v>
      </c>
      <c r="O16" s="61">
        <v>11</v>
      </c>
      <c r="P16" s="62">
        <v>11</v>
      </c>
      <c r="Q16" s="60">
        <v>0</v>
      </c>
      <c r="R16" s="61">
        <v>7</v>
      </c>
      <c r="S16" s="61">
        <v>9</v>
      </c>
      <c r="T16" s="62">
        <v>9</v>
      </c>
      <c r="U16" s="56">
        <v>6</v>
      </c>
      <c r="V16" s="63">
        <v>13</v>
      </c>
      <c r="W16" s="63">
        <v>13</v>
      </c>
      <c r="X16" s="64">
        <v>13</v>
      </c>
    </row>
    <row r="17" spans="1:24" ht="17.25" customHeight="1" x14ac:dyDescent="0.25">
      <c r="A17" s="59">
        <v>3</v>
      </c>
      <c r="B17" s="59">
        <v>2</v>
      </c>
      <c r="C17" s="65" t="s">
        <v>69</v>
      </c>
      <c r="D17" s="66" t="s">
        <v>59</v>
      </c>
      <c r="E17" s="67" t="s">
        <v>59</v>
      </c>
      <c r="F17" s="60">
        <v>12</v>
      </c>
      <c r="G17" s="61">
        <v>12</v>
      </c>
      <c r="H17" s="62">
        <v>11</v>
      </c>
      <c r="I17" s="60">
        <v>6</v>
      </c>
      <c r="J17" s="61">
        <v>13</v>
      </c>
      <c r="K17" s="61">
        <v>14</v>
      </c>
      <c r="L17" s="62">
        <v>14</v>
      </c>
      <c r="M17" s="60">
        <v>3</v>
      </c>
      <c r="N17" s="61">
        <v>10</v>
      </c>
      <c r="O17" s="61">
        <v>11</v>
      </c>
      <c r="P17" s="62">
        <v>11</v>
      </c>
      <c r="Q17" s="60">
        <v>0</v>
      </c>
      <c r="R17" s="61">
        <v>8</v>
      </c>
      <c r="S17" s="61">
        <v>10</v>
      </c>
      <c r="T17" s="62">
        <v>10</v>
      </c>
      <c r="U17" s="56">
        <v>6</v>
      </c>
      <c r="V17" s="63">
        <v>13</v>
      </c>
      <c r="W17" s="63">
        <v>13</v>
      </c>
      <c r="X17" s="64">
        <v>13</v>
      </c>
    </row>
    <row r="18" spans="1:24" ht="17.25" customHeight="1" x14ac:dyDescent="0.25">
      <c r="A18" s="59">
        <v>4</v>
      </c>
      <c r="B18" s="59">
        <v>3</v>
      </c>
      <c r="C18" s="60" t="s">
        <v>38</v>
      </c>
      <c r="D18" s="61" t="s">
        <v>58</v>
      </c>
      <c r="E18" s="67" t="s">
        <v>59</v>
      </c>
      <c r="F18" s="60">
        <v>12</v>
      </c>
      <c r="G18" s="61">
        <v>12</v>
      </c>
      <c r="H18" s="62">
        <v>12</v>
      </c>
      <c r="I18" s="60">
        <v>7</v>
      </c>
      <c r="J18" s="61">
        <v>13</v>
      </c>
      <c r="K18" s="61">
        <v>14</v>
      </c>
      <c r="L18" s="62">
        <v>14</v>
      </c>
      <c r="M18" s="60">
        <v>2</v>
      </c>
      <c r="N18" s="61">
        <v>11</v>
      </c>
      <c r="O18" s="61">
        <v>11</v>
      </c>
      <c r="P18" s="62">
        <v>11</v>
      </c>
      <c r="Q18" s="60">
        <v>0</v>
      </c>
      <c r="R18" s="61">
        <v>8</v>
      </c>
      <c r="S18" s="61">
        <v>8</v>
      </c>
      <c r="T18" s="62">
        <v>8</v>
      </c>
      <c r="U18" s="56">
        <v>6</v>
      </c>
      <c r="V18" s="63">
        <v>12</v>
      </c>
      <c r="W18" s="63">
        <v>12</v>
      </c>
      <c r="X18" s="64">
        <v>12</v>
      </c>
    </row>
    <row r="19" spans="1:24" ht="17.25" customHeight="1" x14ac:dyDescent="0.25">
      <c r="A19" s="59">
        <v>5</v>
      </c>
      <c r="B19" s="59">
        <v>3</v>
      </c>
      <c r="C19" s="60" t="s">
        <v>38</v>
      </c>
      <c r="D19" s="61" t="s">
        <v>58</v>
      </c>
      <c r="E19" s="62" t="s">
        <v>59</v>
      </c>
      <c r="F19" s="60">
        <v>13</v>
      </c>
      <c r="G19" s="61">
        <v>12</v>
      </c>
      <c r="H19" s="62">
        <v>12</v>
      </c>
      <c r="I19" s="60">
        <v>6</v>
      </c>
      <c r="J19" s="61">
        <v>14</v>
      </c>
      <c r="K19" s="61">
        <v>15</v>
      </c>
      <c r="L19" s="62">
        <v>15</v>
      </c>
      <c r="M19" s="60">
        <v>3</v>
      </c>
      <c r="N19" s="61">
        <v>10</v>
      </c>
      <c r="O19" s="61">
        <v>11</v>
      </c>
      <c r="P19" s="62">
        <v>11</v>
      </c>
      <c r="Q19" s="60">
        <v>0</v>
      </c>
      <c r="R19" s="61">
        <v>9</v>
      </c>
      <c r="S19" s="61">
        <v>10</v>
      </c>
      <c r="T19" s="62">
        <v>10</v>
      </c>
      <c r="U19" s="56">
        <v>6</v>
      </c>
      <c r="V19" s="63">
        <v>12</v>
      </c>
      <c r="W19" s="63">
        <v>12</v>
      </c>
      <c r="X19" s="64">
        <v>12</v>
      </c>
    </row>
    <row r="20" spans="1:24" ht="17.25" customHeight="1" x14ac:dyDescent="0.25">
      <c r="A20" s="59">
        <v>6</v>
      </c>
      <c r="B20" s="59">
        <v>4</v>
      </c>
      <c r="C20" s="60" t="s">
        <v>38</v>
      </c>
      <c r="D20" s="61" t="s">
        <v>58</v>
      </c>
      <c r="E20" s="62" t="s">
        <v>58</v>
      </c>
      <c r="F20" s="60">
        <v>13</v>
      </c>
      <c r="G20" s="61">
        <v>12</v>
      </c>
      <c r="H20" s="62">
        <v>11</v>
      </c>
      <c r="I20" s="60">
        <v>6</v>
      </c>
      <c r="J20" s="61">
        <v>14</v>
      </c>
      <c r="K20" s="61">
        <v>15</v>
      </c>
      <c r="L20" s="62">
        <v>15</v>
      </c>
      <c r="M20" s="60">
        <v>3</v>
      </c>
      <c r="N20" s="61">
        <v>11</v>
      </c>
      <c r="O20" s="61">
        <v>11</v>
      </c>
      <c r="P20" s="62">
        <v>11</v>
      </c>
      <c r="Q20" s="60">
        <v>0</v>
      </c>
      <c r="R20" s="61">
        <v>8</v>
      </c>
      <c r="S20" s="61">
        <v>9</v>
      </c>
      <c r="T20" s="62">
        <v>9</v>
      </c>
      <c r="U20" s="56">
        <v>7</v>
      </c>
      <c r="V20" s="63">
        <v>13</v>
      </c>
      <c r="W20" s="63">
        <v>13</v>
      </c>
      <c r="X20" s="64">
        <v>13</v>
      </c>
    </row>
    <row r="21" spans="1:24" ht="17.25" customHeight="1" x14ac:dyDescent="0.25">
      <c r="A21" s="59">
        <v>7</v>
      </c>
      <c r="B21" s="59">
        <v>4</v>
      </c>
      <c r="C21" s="60" t="s">
        <v>38</v>
      </c>
      <c r="D21" s="61" t="s">
        <v>58</v>
      </c>
      <c r="E21" s="62" t="s">
        <v>59</v>
      </c>
      <c r="F21" s="60">
        <v>12</v>
      </c>
      <c r="G21" s="61">
        <v>13</v>
      </c>
      <c r="H21" s="62">
        <v>12</v>
      </c>
      <c r="I21" s="60">
        <v>7</v>
      </c>
      <c r="J21" s="61">
        <v>13</v>
      </c>
      <c r="K21" s="61">
        <v>14</v>
      </c>
      <c r="L21" s="62">
        <v>14</v>
      </c>
      <c r="M21" s="60">
        <v>3</v>
      </c>
      <c r="N21" s="61">
        <v>11</v>
      </c>
      <c r="O21" s="61">
        <v>11</v>
      </c>
      <c r="P21" s="62">
        <v>11</v>
      </c>
      <c r="Q21" s="60">
        <v>0</v>
      </c>
      <c r="R21" s="61">
        <v>8</v>
      </c>
      <c r="S21" s="61">
        <v>9</v>
      </c>
      <c r="T21" s="62">
        <v>10</v>
      </c>
      <c r="U21" s="56">
        <v>6</v>
      </c>
      <c r="V21" s="63">
        <v>13</v>
      </c>
      <c r="W21" s="63">
        <v>13</v>
      </c>
      <c r="X21" s="64">
        <v>13</v>
      </c>
    </row>
    <row r="22" spans="1:24" ht="17.25" customHeight="1" x14ac:dyDescent="0.25">
      <c r="A22" s="59">
        <v>8</v>
      </c>
      <c r="B22" s="59">
        <v>5</v>
      </c>
      <c r="C22" s="60" t="s">
        <v>69</v>
      </c>
      <c r="D22" s="61" t="s">
        <v>58</v>
      </c>
      <c r="E22" s="62" t="s">
        <v>59</v>
      </c>
      <c r="F22" s="60">
        <v>12</v>
      </c>
      <c r="G22" s="61">
        <v>12</v>
      </c>
      <c r="H22" s="62">
        <v>11</v>
      </c>
      <c r="I22" s="60">
        <v>6</v>
      </c>
      <c r="J22" s="61">
        <v>14</v>
      </c>
      <c r="K22" s="61">
        <v>14</v>
      </c>
      <c r="L22" s="62">
        <v>14</v>
      </c>
      <c r="M22" s="60">
        <v>3</v>
      </c>
      <c r="N22" s="61">
        <v>11</v>
      </c>
      <c r="O22" s="61">
        <v>11</v>
      </c>
      <c r="P22" s="62">
        <v>11</v>
      </c>
      <c r="Q22" s="60">
        <v>0</v>
      </c>
      <c r="R22" s="61">
        <v>7</v>
      </c>
      <c r="S22" s="61">
        <v>10</v>
      </c>
      <c r="T22" s="62">
        <v>10</v>
      </c>
      <c r="U22" s="56">
        <v>6</v>
      </c>
      <c r="V22" s="63">
        <v>13</v>
      </c>
      <c r="W22" s="63">
        <v>13</v>
      </c>
      <c r="X22" s="64">
        <v>13</v>
      </c>
    </row>
    <row r="23" spans="1:24" ht="17.25" customHeight="1" x14ac:dyDescent="0.25">
      <c r="A23" s="59">
        <v>9</v>
      </c>
      <c r="B23" s="59">
        <v>5</v>
      </c>
      <c r="C23" s="60" t="s">
        <v>38</v>
      </c>
      <c r="D23" s="61" t="s">
        <v>58</v>
      </c>
      <c r="E23" s="62" t="s">
        <v>59</v>
      </c>
      <c r="F23" s="60">
        <v>12</v>
      </c>
      <c r="G23" s="61">
        <v>12</v>
      </c>
      <c r="H23" s="62">
        <v>12</v>
      </c>
      <c r="I23" s="60">
        <v>6</v>
      </c>
      <c r="J23" s="61">
        <v>13</v>
      </c>
      <c r="K23" s="61">
        <v>14</v>
      </c>
      <c r="L23" s="62">
        <v>14</v>
      </c>
      <c r="M23" s="60">
        <v>2</v>
      </c>
      <c r="N23" s="61">
        <v>10</v>
      </c>
      <c r="O23" s="61">
        <v>10</v>
      </c>
      <c r="P23" s="62">
        <v>10</v>
      </c>
      <c r="Q23" s="60">
        <v>0</v>
      </c>
      <c r="R23" s="61">
        <v>8</v>
      </c>
      <c r="S23" s="61">
        <v>10</v>
      </c>
      <c r="T23" s="62">
        <v>10</v>
      </c>
      <c r="U23" s="56">
        <v>6</v>
      </c>
      <c r="V23" s="63">
        <v>12</v>
      </c>
      <c r="W23" s="63">
        <v>12</v>
      </c>
      <c r="X23" s="64">
        <v>12</v>
      </c>
    </row>
    <row r="24" spans="1:24" ht="17.25" customHeight="1" x14ac:dyDescent="0.25">
      <c r="A24" s="59">
        <v>10</v>
      </c>
      <c r="B24" s="59">
        <v>6</v>
      </c>
      <c r="C24" s="60" t="s">
        <v>38</v>
      </c>
      <c r="D24" s="61" t="s">
        <v>58</v>
      </c>
      <c r="E24" s="62" t="s">
        <v>58</v>
      </c>
      <c r="F24" s="60">
        <v>12</v>
      </c>
      <c r="G24" s="61">
        <v>12</v>
      </c>
      <c r="H24" s="62">
        <v>12</v>
      </c>
      <c r="I24" s="60">
        <v>7</v>
      </c>
      <c r="J24" s="61">
        <v>14</v>
      </c>
      <c r="K24" s="61">
        <v>14</v>
      </c>
      <c r="L24" s="62">
        <v>14</v>
      </c>
      <c r="M24" s="60">
        <v>2</v>
      </c>
      <c r="N24" s="61">
        <v>10</v>
      </c>
      <c r="O24" s="61">
        <v>11</v>
      </c>
      <c r="P24" s="62">
        <v>11</v>
      </c>
      <c r="Q24" s="60">
        <v>0</v>
      </c>
      <c r="R24" s="61">
        <v>8</v>
      </c>
      <c r="S24" s="61">
        <v>10</v>
      </c>
      <c r="T24" s="62">
        <v>10</v>
      </c>
      <c r="U24" s="56">
        <v>6</v>
      </c>
      <c r="V24" s="63">
        <v>12</v>
      </c>
      <c r="W24" s="63">
        <v>12</v>
      </c>
      <c r="X24" s="64">
        <v>12</v>
      </c>
    </row>
    <row r="25" spans="1:24" ht="17.25" customHeight="1" x14ac:dyDescent="0.25">
      <c r="A25" s="75">
        <f>MAX(A15:A24)</f>
        <v>10</v>
      </c>
      <c r="B25" s="79" t="s">
        <v>68</v>
      </c>
      <c r="C25" s="80"/>
      <c r="D25" s="80"/>
      <c r="E25" s="74"/>
      <c r="F25" s="81">
        <f>+M2</f>
        <v>288</v>
      </c>
      <c r="G25" s="81">
        <f>+M3</f>
        <v>319</v>
      </c>
      <c r="H25" s="81">
        <f>+M4</f>
        <v>408</v>
      </c>
      <c r="I25" s="82">
        <f t="shared" ref="I25:P25" si="0">AVERAGE(I15:I24)</f>
        <v>6.4</v>
      </c>
      <c r="J25" s="82">
        <f t="shared" si="0"/>
        <v>13.6</v>
      </c>
      <c r="K25" s="82">
        <f t="shared" si="0"/>
        <v>14.3</v>
      </c>
      <c r="L25" s="82">
        <f t="shared" si="0"/>
        <v>14.3</v>
      </c>
      <c r="M25" s="82">
        <f t="shared" si="0"/>
        <v>2.7</v>
      </c>
      <c r="N25" s="82">
        <f t="shared" si="0"/>
        <v>10.5</v>
      </c>
      <c r="O25" s="82">
        <f t="shared" si="0"/>
        <v>10.8</v>
      </c>
      <c r="P25" s="82">
        <f t="shared" si="0"/>
        <v>10.8</v>
      </c>
      <c r="Q25" s="82">
        <f t="shared" ref="Q25:X25" si="1">AVERAGE(Q14:Q24)</f>
        <v>0</v>
      </c>
      <c r="R25" s="82">
        <f t="shared" si="1"/>
        <v>7.9</v>
      </c>
      <c r="S25" s="82">
        <f t="shared" si="1"/>
        <v>9.4</v>
      </c>
      <c r="T25" s="82">
        <f t="shared" si="1"/>
        <v>9.5</v>
      </c>
      <c r="U25" s="82">
        <f t="shared" si="1"/>
        <v>6.2</v>
      </c>
      <c r="V25" s="82">
        <f t="shared" si="1"/>
        <v>12.5</v>
      </c>
      <c r="W25" s="82">
        <f t="shared" si="1"/>
        <v>12.5</v>
      </c>
      <c r="X25" s="83">
        <f t="shared" si="1"/>
        <v>12.5</v>
      </c>
    </row>
    <row r="26" spans="1:24" ht="7.5" customHeight="1" x14ac:dyDescent="0.25">
      <c r="A26" s="68"/>
      <c r="B26" s="69"/>
      <c r="C26" s="51"/>
      <c r="D26" s="39"/>
      <c r="E26" s="38"/>
      <c r="F26" s="70"/>
      <c r="G26" s="70"/>
      <c r="H26" s="70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</row>
    <row r="27" spans="1:24" ht="17.25" customHeight="1" x14ac:dyDescent="0.25">
      <c r="A27" s="28"/>
      <c r="B27" s="28"/>
      <c r="C27" s="28"/>
      <c r="D27" s="28"/>
      <c r="E27" s="28"/>
      <c r="F27" s="30" t="s">
        <v>9</v>
      </c>
      <c r="G27" s="31" t="s">
        <v>10</v>
      </c>
      <c r="H27" s="32" t="s">
        <v>50</v>
      </c>
      <c r="I27" s="28"/>
      <c r="J27" s="28"/>
      <c r="K27" s="28"/>
      <c r="L27" s="28"/>
      <c r="N27" s="14" t="s">
        <v>9</v>
      </c>
      <c r="O27" s="15" t="s">
        <v>10</v>
      </c>
      <c r="P27" s="16" t="s">
        <v>50</v>
      </c>
      <c r="R27" s="93"/>
    </row>
    <row r="28" spans="1:24" ht="17.25" customHeight="1" x14ac:dyDescent="0.25">
      <c r="A28" s="28" t="s">
        <v>12</v>
      </c>
      <c r="B28" s="28"/>
      <c r="C28" s="28"/>
      <c r="D28" s="28"/>
      <c r="E28" s="28"/>
      <c r="F28" s="73">
        <f>+A25</f>
        <v>10</v>
      </c>
      <c r="G28" s="74">
        <f>+A25</f>
        <v>10</v>
      </c>
      <c r="H28" s="75">
        <f>+A25</f>
        <v>10</v>
      </c>
      <c r="I28" s="28"/>
      <c r="J28" s="77" t="s">
        <v>11</v>
      </c>
      <c r="K28" s="77"/>
      <c r="L28" s="77"/>
      <c r="N28" s="17">
        <f>+F30/F28</f>
        <v>2</v>
      </c>
      <c r="O28" s="18">
        <f t="shared" ref="O28:P28" si="2">+G30/G28</f>
        <v>2.9</v>
      </c>
      <c r="P28" s="19">
        <f t="shared" si="2"/>
        <v>3</v>
      </c>
      <c r="R28" s="93"/>
    </row>
    <row r="29" spans="1:24" ht="17.25" customHeight="1" x14ac:dyDescent="0.25">
      <c r="A29" s="28" t="s">
        <v>13</v>
      </c>
      <c r="B29" s="28"/>
      <c r="C29" s="28"/>
      <c r="D29" s="28"/>
      <c r="E29" s="28"/>
      <c r="F29" s="73">
        <f>+F28</f>
        <v>10</v>
      </c>
      <c r="G29" s="74">
        <f>+G28</f>
        <v>10</v>
      </c>
      <c r="H29" s="75">
        <f>+H28</f>
        <v>10</v>
      </c>
      <c r="I29" s="28"/>
      <c r="J29" s="77" t="s">
        <v>32</v>
      </c>
      <c r="K29" s="77"/>
      <c r="L29" s="77"/>
      <c r="N29" s="20">
        <f>+F31/F29</f>
        <v>0</v>
      </c>
      <c r="O29" s="21">
        <f>+G31/G29</f>
        <v>0.9</v>
      </c>
      <c r="P29" s="22">
        <f>+H31/H29</f>
        <v>1</v>
      </c>
      <c r="R29" s="93"/>
    </row>
    <row r="30" spans="1:24" ht="17.25" customHeight="1" x14ac:dyDescent="0.25">
      <c r="A30" s="28" t="s">
        <v>14</v>
      </c>
      <c r="B30" s="28"/>
      <c r="C30" s="28"/>
      <c r="D30" s="28"/>
      <c r="E30" s="28"/>
      <c r="F30" s="73">
        <f>+COUNTIF(C15:C24,"1a")+COUNTIF(C15:C24,"1b")+COUNTIF(C15:C24,"1c")+COUNTIF(C15:C24,"2a")*2+COUNTIF(C15:C24,"2b")*2+COUNTIF(C15:C24,"2c")*2+COUNTIF(C15:C24,"3a")*3+COUNTIF(C15:C24,"3b")*3+COUNTIF(C15:C24,"3c")*3</f>
        <v>20</v>
      </c>
      <c r="G30" s="74">
        <f>+COUNTIF(D15:D24,"1a")+COUNTIF(D15:D24,"1b")+COUNTIF(D15:D24,"1c")+COUNTIF(D15:D24,"2a")*2+COUNTIF(D15:D24,"2b")*2+COUNTIF(D15:D24,"2c")*2+COUNTIF(D15:D24,"3a")*3+COUNTIF(D15:D24,"3b")*3+COUNTIF(D15:D24,"3c")*3</f>
        <v>29</v>
      </c>
      <c r="H30" s="75">
        <f>+COUNTIF(E15:E24,"1a")+COUNTIF(E15:E24,"1b")+COUNTIF(E15:E24,"1c")+COUNTIF(E15:E24,"2a")*2+COUNTIF(E15:E24,"2b")*2+COUNTIF(E15:E24,"2c")*2+COUNTIF(E15:E24,"3a")*3+COUNTIF(E15:E24,"3b")*3+COUNTIF(E15:E24,"3c")*3</f>
        <v>30</v>
      </c>
      <c r="I30" s="28"/>
      <c r="J30" s="77" t="s">
        <v>17</v>
      </c>
      <c r="K30" s="77"/>
      <c r="L30" s="77"/>
      <c r="N30" s="40">
        <f>+F29/F28</f>
        <v>1</v>
      </c>
      <c r="O30" s="41">
        <f t="shared" ref="O30:P30" si="3">+G29/G28</f>
        <v>1</v>
      </c>
      <c r="P30" s="22">
        <f t="shared" si="3"/>
        <v>1</v>
      </c>
      <c r="R30" s="93"/>
    </row>
    <row r="31" spans="1:24" ht="17.25" customHeight="1" x14ac:dyDescent="0.25">
      <c r="A31" s="28" t="s">
        <v>15</v>
      </c>
      <c r="B31" s="28"/>
      <c r="C31" s="28"/>
      <c r="D31" s="28"/>
      <c r="E31" s="28"/>
      <c r="F31" s="73">
        <f>+COUNTIF(C15:C24,"3*")</f>
        <v>0</v>
      </c>
      <c r="G31" s="74">
        <f>+COUNTIF(D15:D24,"3*")</f>
        <v>9</v>
      </c>
      <c r="H31" s="75">
        <f>+COUNTIF(E15:E24,"3*")</f>
        <v>10</v>
      </c>
      <c r="I31" s="28"/>
      <c r="J31" s="77" t="s">
        <v>18</v>
      </c>
      <c r="K31" s="77"/>
      <c r="L31" s="77"/>
      <c r="N31" s="42">
        <f>SUM(F15:F24)</f>
        <v>122</v>
      </c>
      <c r="O31" s="42">
        <f>SUM(G15:G24)</f>
        <v>120</v>
      </c>
      <c r="P31" s="44">
        <f>SUM(H15:H24)</f>
        <v>117</v>
      </c>
      <c r="R31" s="93"/>
    </row>
    <row r="32" spans="1:24" ht="17.25" customHeight="1" x14ac:dyDescent="0.25">
      <c r="A32" s="28" t="s">
        <v>16</v>
      </c>
      <c r="B32" s="28"/>
      <c r="C32" s="28"/>
      <c r="D32" s="28"/>
      <c r="E32" s="28"/>
      <c r="F32" s="73">
        <f>+COUNTIF(C15:C24,"*a")+COUNTIF(C15:C24,"*b")*2+COUNTIF(C15:C24,"*c")*3</f>
        <v>12</v>
      </c>
      <c r="G32" s="74">
        <f>+COUNTIF(D15:D24,"*a")+COUNTIF(D15:D24,"*b")*2+COUNTIF(D15:D24,"*c")*3</f>
        <v>11</v>
      </c>
      <c r="H32" s="75">
        <f>+COUNTIF(E15:E24,"*a")+COUNTIF(E15:E24,"*b")*2+COUNTIF(E15:E24,"*c")*3</f>
        <v>17</v>
      </c>
      <c r="I32" s="28"/>
      <c r="J32" s="28" t="s">
        <v>19</v>
      </c>
      <c r="K32" s="28"/>
      <c r="L32" s="28"/>
      <c r="M32" s="76"/>
      <c r="N32" s="42">
        <f>+N31/A25</f>
        <v>12.2</v>
      </c>
      <c r="O32" s="43">
        <f>+O31/A25</f>
        <v>12</v>
      </c>
      <c r="P32" s="44">
        <f>+P31/A25</f>
        <v>11.7</v>
      </c>
      <c r="R32" s="93"/>
    </row>
    <row r="33" spans="1:18" ht="17.25" customHeight="1" x14ac:dyDescent="0.25">
      <c r="F33" s="28"/>
      <c r="G33" s="28"/>
      <c r="H33" s="28"/>
      <c r="J33" s="78" t="s">
        <v>39</v>
      </c>
      <c r="K33" s="78"/>
      <c r="L33" s="78"/>
      <c r="N33" s="23">
        <f>+F32/F28</f>
        <v>1.2</v>
      </c>
      <c r="O33" s="24">
        <f t="shared" ref="O33:P33" si="4">+G32/G28</f>
        <v>1.1000000000000001</v>
      </c>
      <c r="P33" s="25">
        <f t="shared" si="4"/>
        <v>1.7</v>
      </c>
      <c r="R33" s="93"/>
    </row>
    <row r="34" spans="1:18" ht="8.25" customHeight="1" x14ac:dyDescent="0.25"/>
    <row r="36" spans="1:18" x14ac:dyDescent="0.25">
      <c r="J36" s="4"/>
      <c r="K36" s="4"/>
      <c r="L36" s="5"/>
      <c r="M36" s="4"/>
    </row>
    <row r="37" spans="1:18" x14ac:dyDescent="0.25">
      <c r="J37" s="4"/>
      <c r="K37" s="4"/>
      <c r="L37" s="5"/>
      <c r="M37" s="4"/>
    </row>
    <row r="38" spans="1:18" ht="8.4499999999999993" customHeight="1" x14ac:dyDescent="0.25">
      <c r="J38" s="4"/>
      <c r="K38" s="4"/>
      <c r="L38" s="5"/>
      <c r="M38" s="4"/>
    </row>
    <row r="39" spans="1:18" ht="9" customHeight="1" x14ac:dyDescent="0.25">
      <c r="A39" s="3" t="s">
        <v>44</v>
      </c>
      <c r="B39" s="3"/>
      <c r="C39" s="3"/>
      <c r="D39" s="3"/>
      <c r="E39" s="3"/>
      <c r="I39" s="6"/>
      <c r="J39" s="7"/>
      <c r="K39" s="7"/>
      <c r="L39" s="5"/>
      <c r="M39" s="7"/>
    </row>
    <row r="40" spans="1:18" ht="17.45" customHeight="1" x14ac:dyDescent="0.25">
      <c r="A40" s="120" t="s">
        <v>31</v>
      </c>
      <c r="B40" s="120"/>
      <c r="C40" s="120"/>
      <c r="D40" s="120"/>
      <c r="E40" s="120"/>
      <c r="I40" s="6"/>
      <c r="J40" s="33" t="s">
        <v>42</v>
      </c>
      <c r="K40" s="34"/>
      <c r="L40" s="34"/>
      <c r="M40" s="34"/>
    </row>
    <row r="41" spans="1:18" ht="19.5" customHeight="1" x14ac:dyDescent="0.25">
      <c r="A41" t="s">
        <v>40</v>
      </c>
      <c r="B41" s="115" t="str">
        <f>+B10</f>
        <v>ORLY PANTA CEDEÑO</v>
      </c>
      <c r="C41" s="115"/>
      <c r="D41" s="115"/>
      <c r="E41" s="115"/>
      <c r="I41" s="6"/>
      <c r="J41" t="s">
        <v>40</v>
      </c>
      <c r="K41" s="4"/>
      <c r="L41" s="5"/>
      <c r="M41" s="4"/>
    </row>
    <row r="42" spans="1:18" ht="12" customHeight="1" x14ac:dyDescent="0.25"/>
    <row r="46" spans="1:18" x14ac:dyDescent="0.25">
      <c r="E46" t="s">
        <v>44</v>
      </c>
    </row>
  </sheetData>
  <mergeCells count="26">
    <mergeCell ref="B41:E41"/>
    <mergeCell ref="G6:H6"/>
    <mergeCell ref="D7:H7"/>
    <mergeCell ref="C8:H8"/>
    <mergeCell ref="B9:E9"/>
    <mergeCell ref="A40:E40"/>
    <mergeCell ref="G9:H9"/>
    <mergeCell ref="A13:A14"/>
    <mergeCell ref="C13:C14"/>
    <mergeCell ref="D13:D14"/>
    <mergeCell ref="E13:E14"/>
    <mergeCell ref="F13:F14"/>
    <mergeCell ref="B13:B14"/>
    <mergeCell ref="B6:E6"/>
    <mergeCell ref="G10:H10"/>
    <mergeCell ref="H13:H14"/>
    <mergeCell ref="I13:L13"/>
    <mergeCell ref="M13:P13"/>
    <mergeCell ref="G13:G14"/>
    <mergeCell ref="Q6:V6"/>
    <mergeCell ref="J6:O6"/>
    <mergeCell ref="U13:X13"/>
    <mergeCell ref="Q13:T13"/>
    <mergeCell ref="O1:O2"/>
    <mergeCell ref="Q1:Q2"/>
    <mergeCell ref="S1:S2"/>
  </mergeCells>
  <pageMargins left="0.31496062992125984" right="0.31496062992125984" top="0.55118110236220474" bottom="0.35433070866141736" header="0.31496062992125984" footer="0.31496062992125984"/>
  <pageSetup paperSize="9" scale="5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A877C-72EF-48AE-B54D-6A100239C9A0}">
  <sheetPr>
    <pageSetUpPr fitToPage="1"/>
  </sheetPr>
  <dimension ref="A2:AB43"/>
  <sheetViews>
    <sheetView showGridLines="0" tabSelected="1" zoomScale="75" zoomScaleNormal="75" zoomScaleSheetLayoutView="70" workbookViewId="0">
      <selection activeCell="Y8" sqref="Y8"/>
    </sheetView>
  </sheetViews>
  <sheetFormatPr baseColWidth="10" defaultRowHeight="15" x14ac:dyDescent="0.25"/>
  <cols>
    <col min="1" max="1" width="9.7109375" customWidth="1"/>
    <col min="2" max="2" width="8.5703125" customWidth="1"/>
    <col min="3" max="5" width="5.28515625" bestFit="1" customWidth="1"/>
    <col min="6" max="6" width="8.28515625" bestFit="1" customWidth="1"/>
    <col min="7" max="8" width="6.28515625" bestFit="1" customWidth="1"/>
    <col min="9" max="9" width="8.140625" bestFit="1" customWidth="1"/>
    <col min="10" max="10" width="7.7109375" customWidth="1"/>
    <col min="11" max="11" width="8.7109375" bestFit="1" customWidth="1"/>
    <col min="12" max="12" width="9.28515625" bestFit="1" customWidth="1"/>
    <col min="13" max="13" width="9.42578125" customWidth="1"/>
    <col min="14" max="14" width="15" bestFit="1" customWidth="1"/>
    <col min="15" max="15" width="8.7109375" bestFit="1" customWidth="1"/>
    <col min="16" max="16" width="8" bestFit="1" customWidth="1"/>
    <col min="17" max="17" width="9.140625" bestFit="1" customWidth="1"/>
    <col min="18" max="18" width="8.7109375" bestFit="1" customWidth="1"/>
    <col min="19" max="19" width="1.42578125" customWidth="1"/>
    <col min="20" max="20" width="9.42578125" bestFit="1" customWidth="1"/>
    <col min="21" max="21" width="8.140625" bestFit="1" customWidth="1"/>
    <col min="22" max="22" width="9.28515625" bestFit="1" customWidth="1"/>
    <col min="23" max="23" width="9.42578125" bestFit="1" customWidth="1"/>
    <col min="24" max="24" width="7" customWidth="1"/>
  </cols>
  <sheetData>
    <row r="2" spans="1:28" ht="26.25" x14ac:dyDescent="0.4">
      <c r="A2" s="128" t="s">
        <v>71</v>
      </c>
      <c r="B2" s="128"/>
      <c r="C2" s="128"/>
      <c r="D2" s="128"/>
      <c r="E2" s="128"/>
      <c r="F2" s="128"/>
      <c r="G2" s="128"/>
      <c r="H2" s="128"/>
      <c r="I2" s="92"/>
      <c r="J2" s="129" t="s">
        <v>64</v>
      </c>
      <c r="K2" s="130"/>
      <c r="L2" s="130"/>
      <c r="M2" s="130"/>
      <c r="N2" s="131"/>
    </row>
    <row r="3" spans="1:28" ht="18.75" customHeight="1" x14ac:dyDescent="0.3">
      <c r="A3" s="13" t="s">
        <v>60</v>
      </c>
      <c r="B3" s="13"/>
      <c r="C3" s="13"/>
      <c r="D3" s="13"/>
      <c r="E3" s="13"/>
      <c r="F3" s="13"/>
      <c r="G3" s="13"/>
      <c r="H3" s="13"/>
      <c r="I3" s="13"/>
      <c r="J3" s="11" t="s">
        <v>20</v>
      </c>
      <c r="K3" s="12"/>
      <c r="L3" s="12"/>
      <c r="M3" s="106">
        <f>120*N27*N32</f>
        <v>240</v>
      </c>
      <c r="N3" s="107" t="str" cm="1">
        <f t="array" ref="N3">_xlfn.IFS(M3&lt;=$AA$3,"BAJO",M3&lt;=$AA$4,"MODERADO",M3&lt;=$AA$5,"ALTO")</f>
        <v>BAJO</v>
      </c>
      <c r="AA3">
        <v>300</v>
      </c>
      <c r="AB3" t="s">
        <v>76</v>
      </c>
    </row>
    <row r="4" spans="1:28" ht="18.7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1" t="s">
        <v>52</v>
      </c>
      <c r="K4" s="12"/>
      <c r="L4" s="12"/>
      <c r="M4" s="106">
        <f>100*O27*O32</f>
        <v>337.5</v>
      </c>
      <c r="N4" s="107" t="str" cm="1">
        <f t="array" ref="N4">_xlfn.IFS(M4&lt;=$AA$3,"BAJO",M4&lt;=$AA$4,"MODERADO",M4&lt;=$AA$5,"ALTO")</f>
        <v>MODERADO</v>
      </c>
      <c r="AA4">
        <v>500</v>
      </c>
      <c r="AB4" t="s">
        <v>77</v>
      </c>
    </row>
    <row r="5" spans="1:28" ht="23.25" x14ac:dyDescent="0.3">
      <c r="A5" s="85"/>
      <c r="B5" s="85"/>
      <c r="C5" s="85"/>
      <c r="D5" s="85"/>
      <c r="E5" s="85"/>
      <c r="F5" s="85"/>
      <c r="G5" s="85"/>
      <c r="H5" s="85"/>
      <c r="I5" s="85"/>
      <c r="J5" s="11" t="s">
        <v>54</v>
      </c>
      <c r="K5" s="12"/>
      <c r="L5" s="12"/>
      <c r="M5" s="106">
        <f>80*P27*P32</f>
        <v>550</v>
      </c>
      <c r="N5" s="107" t="str" cm="1">
        <f t="array" ref="N5">_xlfn.IFS(M5&lt;=$AA$3,"BAJO",M5&lt;=$AA$4,"MODERADO",M5&lt;=$AA$5,"ALTO")</f>
        <v>ALTO</v>
      </c>
      <c r="O5" s="35"/>
      <c r="P5" s="2"/>
      <c r="AA5">
        <v>1200</v>
      </c>
      <c r="AB5" t="s">
        <v>67</v>
      </c>
    </row>
    <row r="6" spans="1:28" ht="8.25" customHeight="1" x14ac:dyDescent="0.25">
      <c r="A6" s="8"/>
      <c r="B6" s="8"/>
      <c r="C6" s="8"/>
      <c r="D6" s="8"/>
      <c r="E6" s="8"/>
      <c r="F6" s="8"/>
      <c r="G6" s="8"/>
      <c r="H6" s="8"/>
      <c r="X6" s="8"/>
    </row>
    <row r="7" spans="1:28" ht="21" x14ac:dyDescent="0.35">
      <c r="A7" s="2" t="s">
        <v>7</v>
      </c>
      <c r="B7" s="111" t="s">
        <v>70</v>
      </c>
      <c r="C7" s="111"/>
      <c r="D7" s="111"/>
      <c r="E7" s="111"/>
      <c r="F7" s="8"/>
      <c r="G7" s="8"/>
      <c r="H7" s="8"/>
      <c r="J7" s="108" t="s">
        <v>75</v>
      </c>
      <c r="K7" s="108"/>
      <c r="L7" s="108"/>
      <c r="M7" s="108"/>
      <c r="N7" s="108"/>
      <c r="O7" s="108"/>
      <c r="X7" s="2"/>
    </row>
    <row r="8" spans="1:28" x14ac:dyDescent="0.25">
      <c r="A8" s="2" t="s">
        <v>5</v>
      </c>
      <c r="C8" s="127">
        <v>45034</v>
      </c>
      <c r="D8" s="127"/>
      <c r="E8" s="127"/>
      <c r="F8" s="127"/>
      <c r="G8" s="127"/>
      <c r="H8" s="127"/>
      <c r="J8" s="97" t="s">
        <v>65</v>
      </c>
      <c r="K8" s="98"/>
      <c r="L8" s="99" t="s">
        <v>3</v>
      </c>
      <c r="M8" s="99" t="s">
        <v>2</v>
      </c>
      <c r="N8" s="100" t="s">
        <v>0</v>
      </c>
      <c r="O8" s="99" t="s">
        <v>1</v>
      </c>
    </row>
    <row r="9" spans="1:28" x14ac:dyDescent="0.25">
      <c r="A9" s="2" t="s">
        <v>8</v>
      </c>
      <c r="B9" s="87">
        <f>+_xlfn.ISOWEEKNUM(C8)</f>
        <v>16</v>
      </c>
      <c r="C9" s="87"/>
      <c r="D9" s="87"/>
      <c r="E9" s="87"/>
      <c r="F9" s="2" t="s">
        <v>41</v>
      </c>
      <c r="G9" s="88">
        <f>+C8</f>
        <v>45034</v>
      </c>
      <c r="H9" s="89"/>
      <c r="J9" s="101" t="s">
        <v>53</v>
      </c>
      <c r="K9" s="102"/>
      <c r="L9" s="103">
        <v>6</v>
      </c>
      <c r="M9" s="103">
        <v>11</v>
      </c>
      <c r="N9" s="103">
        <v>12.5</v>
      </c>
      <c r="O9" s="103">
        <v>13.5</v>
      </c>
    </row>
    <row r="10" spans="1:28" x14ac:dyDescent="0.25">
      <c r="A10" s="2" t="s">
        <v>4</v>
      </c>
      <c r="B10" s="12" t="s">
        <v>61</v>
      </c>
      <c r="C10" s="12"/>
      <c r="D10" s="12"/>
      <c r="E10" s="12"/>
      <c r="F10" s="2" t="s">
        <v>43</v>
      </c>
      <c r="G10" s="86"/>
      <c r="H10" s="86"/>
      <c r="J10" s="101" t="s">
        <v>56</v>
      </c>
      <c r="K10" s="102"/>
      <c r="L10" s="103">
        <v>0</v>
      </c>
      <c r="M10" s="103">
        <v>5</v>
      </c>
      <c r="N10" s="103">
        <v>8.5</v>
      </c>
      <c r="O10" s="103">
        <v>9</v>
      </c>
      <c r="X10" s="2"/>
      <c r="Y10" s="2"/>
      <c r="Z10" s="2"/>
    </row>
    <row r="11" spans="1:28" x14ac:dyDescent="0.25">
      <c r="A11" s="2"/>
      <c r="F11" s="2"/>
      <c r="G11" s="78"/>
      <c r="H11" s="78"/>
      <c r="J11" s="104"/>
      <c r="K11" s="104"/>
      <c r="L11" s="105"/>
      <c r="M11" s="105"/>
      <c r="N11" s="105"/>
      <c r="O11" s="105"/>
      <c r="X11" s="2"/>
      <c r="Y11" s="2"/>
      <c r="Z11" s="2"/>
    </row>
    <row r="12" spans="1:28" ht="21" x14ac:dyDescent="0.35">
      <c r="A12" s="110" t="s">
        <v>21</v>
      </c>
      <c r="B12" s="29" t="s">
        <v>73</v>
      </c>
      <c r="C12" s="110" t="s">
        <v>26</v>
      </c>
      <c r="D12" s="29" t="s">
        <v>29</v>
      </c>
      <c r="E12" s="110" t="s">
        <v>27</v>
      </c>
      <c r="F12" s="29" t="s">
        <v>30</v>
      </c>
      <c r="G12" s="114" t="s">
        <v>25</v>
      </c>
      <c r="H12" s="29" t="s">
        <v>74</v>
      </c>
      <c r="J12" s="108" t="s">
        <v>72</v>
      </c>
      <c r="K12" s="108"/>
      <c r="L12" s="108"/>
      <c r="M12" s="108"/>
      <c r="N12" s="108"/>
      <c r="O12" s="108"/>
      <c r="X12" s="2"/>
      <c r="Y12" s="2"/>
      <c r="Z12" s="2"/>
    </row>
    <row r="13" spans="1:28" x14ac:dyDescent="0.25">
      <c r="A13" s="110"/>
      <c r="B13" s="9" t="s">
        <v>22</v>
      </c>
      <c r="C13" s="110"/>
      <c r="D13" s="9" t="s">
        <v>28</v>
      </c>
      <c r="E13" s="110"/>
      <c r="F13" s="9" t="s">
        <v>22</v>
      </c>
      <c r="G13" s="114"/>
      <c r="H13" s="9" t="s">
        <v>22</v>
      </c>
      <c r="J13" s="46" t="s">
        <v>65</v>
      </c>
      <c r="K13" s="47"/>
      <c r="L13" s="26" t="s">
        <v>3</v>
      </c>
      <c r="M13" s="26" t="s">
        <v>2</v>
      </c>
      <c r="N13" s="27" t="s">
        <v>0</v>
      </c>
      <c r="O13" s="26" t="s">
        <v>1</v>
      </c>
      <c r="X13" s="2"/>
      <c r="Y13" s="2"/>
      <c r="Z13" s="2"/>
    </row>
    <row r="14" spans="1:28" x14ac:dyDescent="0.25">
      <c r="A14" s="35" t="s">
        <v>23</v>
      </c>
      <c r="B14" s="2" t="s">
        <v>24</v>
      </c>
      <c r="F14" s="2"/>
      <c r="G14" s="78"/>
      <c r="H14" s="78"/>
      <c r="J14" s="48" t="s">
        <v>53</v>
      </c>
      <c r="K14" s="49"/>
      <c r="L14" s="10">
        <f>AVERAGE(I19:I23)</f>
        <v>6.5</v>
      </c>
      <c r="M14" s="10">
        <f>AVERAGE(J19:J23)</f>
        <v>13.5</v>
      </c>
      <c r="N14" s="10">
        <f>AVERAGE(K19:K23)</f>
        <v>14.25</v>
      </c>
      <c r="O14" s="10">
        <f>AVERAGE(L19:L23)</f>
        <v>14.25</v>
      </c>
      <c r="X14" s="2"/>
      <c r="Y14" s="2"/>
      <c r="Z14" s="2"/>
    </row>
    <row r="15" spans="1:28" x14ac:dyDescent="0.25">
      <c r="A15" s="2"/>
      <c r="F15" s="2"/>
      <c r="G15" s="78"/>
      <c r="H15" s="78"/>
      <c r="J15" s="48" t="s">
        <v>56</v>
      </c>
      <c r="K15" s="49"/>
      <c r="L15" s="10">
        <f>AVERAGE(M19:M23)</f>
        <v>0</v>
      </c>
      <c r="M15" s="10">
        <f>AVERAGE(N19:N23)</f>
        <v>7.75</v>
      </c>
      <c r="N15" s="10">
        <f>AVERAGE(O19:O23)</f>
        <v>9</v>
      </c>
      <c r="O15" s="10">
        <f>AVERAGE(P19:P23)</f>
        <v>9</v>
      </c>
      <c r="X15" s="2"/>
      <c r="Y15" s="2"/>
      <c r="Z15" s="2"/>
    </row>
    <row r="16" spans="1:28" ht="6.75" customHeight="1" x14ac:dyDescent="0.25">
      <c r="A16" s="2"/>
      <c r="B16" s="1"/>
    </row>
    <row r="17" spans="1:24" x14ac:dyDescent="0.25">
      <c r="A17" s="123" t="s">
        <v>62</v>
      </c>
      <c r="B17" s="125" t="s">
        <v>63</v>
      </c>
      <c r="C17" s="124" t="s">
        <v>66</v>
      </c>
      <c r="D17" s="113" t="s">
        <v>37</v>
      </c>
      <c r="E17" s="112" t="s">
        <v>45</v>
      </c>
      <c r="F17" s="124" t="s">
        <v>34</v>
      </c>
      <c r="G17" s="113" t="s">
        <v>35</v>
      </c>
      <c r="H17" s="112" t="s">
        <v>46</v>
      </c>
      <c r="I17" s="109" t="s">
        <v>47</v>
      </c>
      <c r="J17" s="109"/>
      <c r="K17" s="109"/>
      <c r="L17" s="109"/>
      <c r="M17" s="132" t="s">
        <v>78</v>
      </c>
      <c r="N17" s="133"/>
      <c r="O17" s="133"/>
      <c r="P17" s="134"/>
    </row>
    <row r="18" spans="1:24" ht="30" x14ac:dyDescent="0.25">
      <c r="A18" s="123"/>
      <c r="B18" s="126"/>
      <c r="C18" s="124"/>
      <c r="D18" s="113"/>
      <c r="E18" s="112"/>
      <c r="F18" s="124"/>
      <c r="G18" s="113"/>
      <c r="H18" s="112"/>
      <c r="I18" s="36" t="s">
        <v>3</v>
      </c>
      <c r="J18" s="45" t="s">
        <v>2</v>
      </c>
      <c r="K18" s="50" t="s">
        <v>36</v>
      </c>
      <c r="L18" s="37" t="s">
        <v>1</v>
      </c>
      <c r="M18" s="36" t="s">
        <v>3</v>
      </c>
      <c r="N18" s="45" t="s">
        <v>2</v>
      </c>
      <c r="O18" s="50" t="s">
        <v>36</v>
      </c>
      <c r="P18" s="37" t="s">
        <v>1</v>
      </c>
    </row>
    <row r="19" spans="1:24" ht="17.25" customHeight="1" x14ac:dyDescent="0.25">
      <c r="A19" s="52">
        <v>1</v>
      </c>
      <c r="B19" s="52">
        <v>1</v>
      </c>
      <c r="C19" s="53" t="s">
        <v>38</v>
      </c>
      <c r="D19" s="54" t="s">
        <v>38</v>
      </c>
      <c r="E19" s="55" t="s">
        <v>38</v>
      </c>
      <c r="F19" s="53">
        <v>12</v>
      </c>
      <c r="G19" s="54">
        <v>12</v>
      </c>
      <c r="H19" s="55">
        <v>12</v>
      </c>
      <c r="I19" s="53">
        <v>7</v>
      </c>
      <c r="J19" s="54">
        <v>14</v>
      </c>
      <c r="K19" s="54">
        <v>14</v>
      </c>
      <c r="L19" s="55">
        <v>14</v>
      </c>
      <c r="M19" s="53">
        <v>0</v>
      </c>
      <c r="N19" s="54">
        <v>8</v>
      </c>
      <c r="O19" s="54">
        <v>9</v>
      </c>
      <c r="P19" s="55">
        <v>9</v>
      </c>
    </row>
    <row r="20" spans="1:24" ht="17.25" customHeight="1" x14ac:dyDescent="0.25">
      <c r="A20" s="59">
        <v>2</v>
      </c>
      <c r="B20" s="59">
        <v>2</v>
      </c>
      <c r="C20" s="60" t="s">
        <v>38</v>
      </c>
      <c r="D20" s="61" t="s">
        <v>38</v>
      </c>
      <c r="E20" s="62" t="s">
        <v>79</v>
      </c>
      <c r="F20" s="60">
        <v>12</v>
      </c>
      <c r="G20" s="61">
        <v>11</v>
      </c>
      <c r="H20" s="62">
        <v>12</v>
      </c>
      <c r="I20" s="60">
        <v>6</v>
      </c>
      <c r="J20" s="61">
        <v>14</v>
      </c>
      <c r="K20" s="61">
        <v>15</v>
      </c>
      <c r="L20" s="62">
        <v>15</v>
      </c>
      <c r="M20" s="60">
        <v>0</v>
      </c>
      <c r="N20" s="61">
        <v>7</v>
      </c>
      <c r="O20" s="61">
        <v>9</v>
      </c>
      <c r="P20" s="62">
        <v>9</v>
      </c>
    </row>
    <row r="21" spans="1:24" ht="17.25" customHeight="1" x14ac:dyDescent="0.25">
      <c r="A21" s="59">
        <v>3</v>
      </c>
      <c r="B21" s="59">
        <v>2</v>
      </c>
      <c r="C21" s="65" t="s">
        <v>38</v>
      </c>
      <c r="D21" s="66" t="s">
        <v>38</v>
      </c>
      <c r="E21" s="67" t="s">
        <v>79</v>
      </c>
      <c r="F21" s="60">
        <v>12</v>
      </c>
      <c r="G21" s="61">
        <v>12</v>
      </c>
      <c r="H21" s="62">
        <v>11</v>
      </c>
      <c r="I21" s="60">
        <v>6</v>
      </c>
      <c r="J21" s="61">
        <v>13</v>
      </c>
      <c r="K21" s="61">
        <v>14</v>
      </c>
      <c r="L21" s="62">
        <v>14</v>
      </c>
      <c r="M21" s="60">
        <v>0</v>
      </c>
      <c r="N21" s="61">
        <v>8</v>
      </c>
      <c r="O21" s="61">
        <v>10</v>
      </c>
      <c r="P21" s="62">
        <v>10</v>
      </c>
    </row>
    <row r="22" spans="1:24" ht="17.25" customHeight="1" x14ac:dyDescent="0.25">
      <c r="A22" s="59">
        <v>4</v>
      </c>
      <c r="B22" s="59">
        <v>3</v>
      </c>
      <c r="C22" s="60" t="s">
        <v>38</v>
      </c>
      <c r="D22" s="61" t="s">
        <v>79</v>
      </c>
      <c r="E22" s="67" t="s">
        <v>79</v>
      </c>
      <c r="F22" s="60">
        <v>12</v>
      </c>
      <c r="G22" s="61">
        <v>12</v>
      </c>
      <c r="H22" s="62">
        <v>12</v>
      </c>
      <c r="I22" s="60">
        <v>7</v>
      </c>
      <c r="J22" s="61">
        <v>13</v>
      </c>
      <c r="K22" s="61">
        <v>14</v>
      </c>
      <c r="L22" s="62">
        <v>14</v>
      </c>
      <c r="M22" s="60">
        <v>0</v>
      </c>
      <c r="N22" s="61">
        <v>8</v>
      </c>
      <c r="O22" s="61">
        <v>8</v>
      </c>
      <c r="P22" s="62">
        <v>8</v>
      </c>
    </row>
    <row r="23" spans="1:24" ht="17.25" customHeight="1" x14ac:dyDescent="0.25">
      <c r="A23" s="59"/>
      <c r="B23" s="59"/>
      <c r="C23" s="60"/>
      <c r="D23" s="61"/>
      <c r="E23" s="62"/>
      <c r="F23" s="60"/>
      <c r="G23" s="61"/>
      <c r="H23" s="62"/>
      <c r="I23" s="60"/>
      <c r="J23" s="61"/>
      <c r="K23" s="61"/>
      <c r="L23" s="62"/>
      <c r="M23" s="60"/>
      <c r="N23" s="61"/>
      <c r="O23" s="61"/>
      <c r="P23" s="62"/>
    </row>
    <row r="24" spans="1:24" ht="17.25" customHeight="1" x14ac:dyDescent="0.25">
      <c r="A24" s="75">
        <f>MAX(A19:A23)</f>
        <v>4</v>
      </c>
      <c r="B24" s="79" t="s">
        <v>68</v>
      </c>
      <c r="C24" s="80"/>
      <c r="D24" s="80"/>
      <c r="E24" s="74"/>
      <c r="F24" s="81">
        <f>+M3</f>
        <v>240</v>
      </c>
      <c r="G24" s="81">
        <f>+M4</f>
        <v>337.5</v>
      </c>
      <c r="H24" s="81">
        <f>+M5</f>
        <v>550</v>
      </c>
      <c r="I24" s="82">
        <f>AVERAGE(I19:I23)</f>
        <v>6.5</v>
      </c>
      <c r="J24" s="82">
        <f>AVERAGE(J19:J23)</f>
        <v>13.5</v>
      </c>
      <c r="K24" s="82">
        <f>AVERAGE(K19:K23)</f>
        <v>14.25</v>
      </c>
      <c r="L24" s="82">
        <f>AVERAGE(L19:L23)</f>
        <v>14.25</v>
      </c>
      <c r="M24" s="82">
        <f>AVERAGE(M18:M23)</f>
        <v>0</v>
      </c>
      <c r="N24" s="82">
        <f>AVERAGE(N18:N23)</f>
        <v>7.75</v>
      </c>
      <c r="O24" s="82">
        <f>AVERAGE(O18:O23)</f>
        <v>9</v>
      </c>
      <c r="P24" s="82">
        <f>AVERAGE(P18:P23)</f>
        <v>9</v>
      </c>
    </row>
    <row r="25" spans="1:24" ht="7.5" customHeight="1" x14ac:dyDescent="0.25">
      <c r="A25" s="68"/>
      <c r="B25" s="69"/>
      <c r="C25" s="51"/>
      <c r="D25" s="39"/>
      <c r="E25" s="38"/>
      <c r="F25" s="70"/>
      <c r="G25" s="70"/>
      <c r="H25" s="70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</row>
    <row r="26" spans="1:24" ht="17.25" customHeight="1" x14ac:dyDescent="0.25">
      <c r="A26" s="28"/>
      <c r="B26" s="28"/>
      <c r="C26" s="28"/>
      <c r="D26" s="28"/>
      <c r="E26" s="28"/>
      <c r="F26" s="30" t="s">
        <v>9</v>
      </c>
      <c r="G26" s="31" t="s">
        <v>10</v>
      </c>
      <c r="H26" s="32" t="s">
        <v>50</v>
      </c>
      <c r="I26" s="28"/>
      <c r="J26" s="28"/>
      <c r="K26" s="28"/>
      <c r="L26" s="28"/>
      <c r="N26" s="14" t="s">
        <v>9</v>
      </c>
      <c r="O26" s="15" t="s">
        <v>10</v>
      </c>
      <c r="P26" s="16" t="s">
        <v>50</v>
      </c>
      <c r="R26" s="93"/>
    </row>
    <row r="27" spans="1:24" ht="17.25" customHeight="1" x14ac:dyDescent="0.25">
      <c r="A27" s="28" t="s">
        <v>12</v>
      </c>
      <c r="B27" s="28"/>
      <c r="C27" s="28"/>
      <c r="D27" s="28"/>
      <c r="E27" s="28"/>
      <c r="F27" s="73">
        <f>+A24</f>
        <v>4</v>
      </c>
      <c r="G27" s="74">
        <f>+A24</f>
        <v>4</v>
      </c>
      <c r="H27" s="75">
        <f>+A24</f>
        <v>4</v>
      </c>
      <c r="I27" s="28"/>
      <c r="J27" s="77" t="s">
        <v>11</v>
      </c>
      <c r="K27" s="77"/>
      <c r="L27" s="77"/>
      <c r="N27" s="17">
        <f>+F29/F27</f>
        <v>2</v>
      </c>
      <c r="O27" s="18">
        <f t="shared" ref="O27:P27" si="0">+G29/G27</f>
        <v>2.25</v>
      </c>
      <c r="P27" s="19">
        <f t="shared" si="0"/>
        <v>2.75</v>
      </c>
      <c r="R27" s="93"/>
    </row>
    <row r="28" spans="1:24" ht="17.25" customHeight="1" x14ac:dyDescent="0.25">
      <c r="A28" s="28" t="s">
        <v>13</v>
      </c>
      <c r="B28" s="28"/>
      <c r="C28" s="28"/>
      <c r="D28" s="28"/>
      <c r="E28" s="28"/>
      <c r="F28" s="73">
        <f>+F27</f>
        <v>4</v>
      </c>
      <c r="G28" s="74">
        <f>+G27</f>
        <v>4</v>
      </c>
      <c r="H28" s="75">
        <f>+H27</f>
        <v>4</v>
      </c>
      <c r="I28" s="28"/>
      <c r="J28" s="77" t="s">
        <v>32</v>
      </c>
      <c r="K28" s="77"/>
      <c r="L28" s="77"/>
      <c r="N28" s="20">
        <f>+F30/F28</f>
        <v>0</v>
      </c>
      <c r="O28" s="21">
        <f>+G30/G28</f>
        <v>0.25</v>
      </c>
      <c r="P28" s="22">
        <f>+H30/H28</f>
        <v>0.75</v>
      </c>
      <c r="R28" s="93"/>
    </row>
    <row r="29" spans="1:24" ht="17.25" customHeight="1" x14ac:dyDescent="0.25">
      <c r="A29" s="28" t="s">
        <v>14</v>
      </c>
      <c r="B29" s="28"/>
      <c r="C29" s="28"/>
      <c r="D29" s="28"/>
      <c r="E29" s="28"/>
      <c r="F29" s="73">
        <f>+COUNTIF(C19:C23,"1a")+COUNTIF(C19:C23,"1b")+COUNTIF(C19:C23,"1c")+COUNTIF(C19:C23,"2a")*2+COUNTIF(C19:C23,"2b")*2+COUNTIF(C19:C23,"2c")*2+COUNTIF(C19:C23,"3a")*3+COUNTIF(C19:C23,"3b")*3+COUNTIF(C19:C23,"3c")*3</f>
        <v>8</v>
      </c>
      <c r="G29" s="74">
        <f>+COUNTIF(D19:D23,"1a")+COUNTIF(D19:D23,"1b")+COUNTIF(D19:D23,"1c")+COUNTIF(D19:D23,"2a")*2+COUNTIF(D19:D23,"2b")*2+COUNTIF(D19:D23,"2c")*2+COUNTIF(D19:D23,"3a")*3+COUNTIF(D19:D23,"3b")*3+COUNTIF(D19:D23,"3c")*3</f>
        <v>9</v>
      </c>
      <c r="H29" s="75">
        <f>+COUNTIF(E19:E23,"1a")+COUNTIF(E19:E23,"1b")+COUNTIF(E19:E23,"1c")+COUNTIF(E19:E23,"2a")*2+COUNTIF(E19:E23,"2b")*2+COUNTIF(E19:E23,"2c")*2+COUNTIF(E19:E23,"3a")*3+COUNTIF(E19:E23,"3b")*3+COUNTIF(E19:E23,"3c")*3</f>
        <v>11</v>
      </c>
      <c r="I29" s="28"/>
      <c r="J29" s="77" t="s">
        <v>17</v>
      </c>
      <c r="K29" s="77"/>
      <c r="L29" s="77"/>
      <c r="N29" s="40">
        <f>+F28/F27</f>
        <v>1</v>
      </c>
      <c r="O29" s="41">
        <f t="shared" ref="O29:P29" si="1">+G28/G27</f>
        <v>1</v>
      </c>
      <c r="P29" s="22">
        <f t="shared" si="1"/>
        <v>1</v>
      </c>
      <c r="R29" s="93"/>
    </row>
    <row r="30" spans="1:24" ht="17.25" customHeight="1" x14ac:dyDescent="0.25">
      <c r="A30" s="28" t="s">
        <v>15</v>
      </c>
      <c r="B30" s="28"/>
      <c r="C30" s="28"/>
      <c r="D30" s="28"/>
      <c r="E30" s="28"/>
      <c r="F30" s="73">
        <f>+COUNTIF(C19:C23,"3*")</f>
        <v>0</v>
      </c>
      <c r="G30" s="74">
        <f>+COUNTIF(D19:D23,"3*")</f>
        <v>1</v>
      </c>
      <c r="H30" s="75">
        <f>+COUNTIF(E19:E23,"3*")</f>
        <v>3</v>
      </c>
      <c r="I30" s="28"/>
      <c r="J30" s="77" t="s">
        <v>18</v>
      </c>
      <c r="K30" s="77"/>
      <c r="L30" s="77"/>
      <c r="N30" s="42">
        <f>SUM(F19:F23)</f>
        <v>48</v>
      </c>
      <c r="O30" s="42">
        <f>SUM(G19:G23)</f>
        <v>47</v>
      </c>
      <c r="P30" s="44">
        <f>SUM(H19:H23)</f>
        <v>47</v>
      </c>
      <c r="R30" s="93"/>
    </row>
    <row r="31" spans="1:24" ht="17.25" customHeight="1" x14ac:dyDescent="0.25">
      <c r="A31" s="28" t="s">
        <v>16</v>
      </c>
      <c r="B31" s="28"/>
      <c r="C31" s="28"/>
      <c r="D31" s="28"/>
      <c r="E31" s="28"/>
      <c r="F31" s="73">
        <f>+COUNTIF(C19:C23,"*a")+COUNTIF(C19:C23,"*b")*2+COUNTIF(C19:C23,"*c")*3</f>
        <v>4</v>
      </c>
      <c r="G31" s="74">
        <f>+COUNTIF(D19:D23,"*a")+COUNTIF(D19:D23,"*b")*2+COUNTIF(D19:D23,"*c")*3</f>
        <v>6</v>
      </c>
      <c r="H31" s="75">
        <f>+COUNTIF(E19:E23,"*a")+COUNTIF(E19:E23,"*b")*2+COUNTIF(E19:E23,"*c")*3</f>
        <v>10</v>
      </c>
      <c r="I31" s="28"/>
      <c r="J31" s="28" t="s">
        <v>19</v>
      </c>
      <c r="K31" s="28"/>
      <c r="L31" s="28"/>
      <c r="M31" s="76"/>
      <c r="N31" s="42">
        <f>+N30/A24</f>
        <v>12</v>
      </c>
      <c r="O31" s="43">
        <f>+O30/A24</f>
        <v>11.75</v>
      </c>
      <c r="P31" s="44">
        <f>+P30/A24</f>
        <v>11.75</v>
      </c>
      <c r="R31" s="93"/>
    </row>
    <row r="32" spans="1:24" ht="17.25" customHeight="1" x14ac:dyDescent="0.25">
      <c r="F32" s="28"/>
      <c r="G32" s="28"/>
      <c r="H32" s="28"/>
      <c r="J32" s="78" t="s">
        <v>39</v>
      </c>
      <c r="K32" s="78"/>
      <c r="L32" s="78"/>
      <c r="N32" s="23">
        <f>+F31/F27</f>
        <v>1</v>
      </c>
      <c r="O32" s="24">
        <f t="shared" ref="O32:P32" si="2">+G31/G27</f>
        <v>1.5</v>
      </c>
      <c r="P32" s="25">
        <f t="shared" si="2"/>
        <v>2.5</v>
      </c>
      <c r="R32" s="93"/>
    </row>
    <row r="33" spans="1:13" ht="8.25" customHeight="1" x14ac:dyDescent="0.25"/>
    <row r="34" spans="1:13" x14ac:dyDescent="0.25">
      <c r="J34" s="4"/>
      <c r="K34" s="4"/>
      <c r="L34" s="5"/>
      <c r="M34" s="4"/>
    </row>
    <row r="35" spans="1:13" ht="8.4499999999999993" customHeight="1" x14ac:dyDescent="0.25">
      <c r="J35" s="4"/>
      <c r="K35" s="4"/>
      <c r="L35" s="5"/>
      <c r="M35" s="4"/>
    </row>
    <row r="36" spans="1:13" ht="9" customHeight="1" x14ac:dyDescent="0.25">
      <c r="A36" s="3" t="s">
        <v>44</v>
      </c>
      <c r="B36" s="3"/>
      <c r="C36" s="3"/>
      <c r="D36" s="3"/>
      <c r="E36" s="3"/>
      <c r="I36" s="6"/>
      <c r="J36" s="4"/>
      <c r="K36" s="4"/>
      <c r="L36" s="5"/>
      <c r="M36" s="4"/>
    </row>
    <row r="37" spans="1:13" ht="17.45" customHeight="1" x14ac:dyDescent="0.25">
      <c r="A37" s="120" t="s">
        <v>80</v>
      </c>
      <c r="B37" s="120"/>
      <c r="C37" s="120"/>
      <c r="D37" s="120"/>
      <c r="E37" s="120"/>
      <c r="I37" s="6"/>
      <c r="J37" s="4"/>
      <c r="K37" s="4"/>
      <c r="L37" s="5"/>
      <c r="M37" s="4"/>
    </row>
    <row r="38" spans="1:13" ht="19.5" customHeight="1" x14ac:dyDescent="0.25">
      <c r="A38" t="s">
        <v>40</v>
      </c>
      <c r="B38" s="115" t="str">
        <f>+B10</f>
        <v>ORLY PANTA CEDEÑO</v>
      </c>
      <c r="C38" s="115"/>
      <c r="D38" s="115"/>
      <c r="E38" s="115"/>
      <c r="I38" s="6"/>
      <c r="J38" s="4"/>
      <c r="K38" s="4"/>
      <c r="L38" s="5"/>
      <c r="M38" s="4"/>
    </row>
    <row r="39" spans="1:13" ht="12" customHeight="1" x14ac:dyDescent="0.25"/>
    <row r="43" spans="1:13" x14ac:dyDescent="0.25">
      <c r="E43" t="s">
        <v>44</v>
      </c>
    </row>
  </sheetData>
  <mergeCells count="22">
    <mergeCell ref="A12:A13"/>
    <mergeCell ref="C12:C13"/>
    <mergeCell ref="G12:G13"/>
    <mergeCell ref="B7:E7"/>
    <mergeCell ref="J12:O12"/>
    <mergeCell ref="J7:O7"/>
    <mergeCell ref="A37:E37"/>
    <mergeCell ref="B38:E38"/>
    <mergeCell ref="C8:H8"/>
    <mergeCell ref="A2:H2"/>
    <mergeCell ref="J2:N2"/>
    <mergeCell ref="M17:P17"/>
    <mergeCell ref="E12:E13"/>
    <mergeCell ref="F17:F18"/>
    <mergeCell ref="G17:G18"/>
    <mergeCell ref="H17:H18"/>
    <mergeCell ref="I17:L17"/>
    <mergeCell ref="A17:A18"/>
    <mergeCell ref="B17:B18"/>
    <mergeCell ref="C17:C18"/>
    <mergeCell ref="D17:D18"/>
    <mergeCell ref="E17:E18"/>
  </mergeCells>
  <conditionalFormatting sqref="M3:M5">
    <cfRule type="cellIs" dxfId="5" priority="4" operator="between">
      <formula>501</formula>
      <formula>1200</formula>
    </cfRule>
    <cfRule type="cellIs" dxfId="4" priority="5" operator="between">
      <formula>301</formula>
      <formula>500</formula>
    </cfRule>
    <cfRule type="cellIs" dxfId="3" priority="6" operator="between">
      <formula>0</formula>
      <formula>300</formula>
    </cfRule>
  </conditionalFormatting>
  <conditionalFormatting sqref="N3:N5">
    <cfRule type="cellIs" dxfId="2" priority="1" operator="equal">
      <formula>"ALTO"</formula>
    </cfRule>
    <cfRule type="cellIs" dxfId="1" priority="2" operator="equal">
      <formula>"BAJO"</formula>
    </cfRule>
    <cfRule type="cellIs" dxfId="0" priority="3" operator="equal">
      <formula>"MODERADO"</formula>
    </cfRule>
  </conditionalFormatting>
  <pageMargins left="0.9055118110236221" right="0.31496062992125984" top="0.55118110236220474" bottom="0.35433070866141736" header="0.31496062992125984" footer="0.31496062992125984"/>
  <pageSetup paperSize="9" scale="89" orientation="landscape" horizontalDpi="360" verticalDpi="360" r:id="rId1"/>
  <headerFooter>
    <oddFooter>&amp;RElab. Ing. Orly Panta C.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RIO VERDE 1 ARRIBA</vt:lpstr>
      <vt:lpstr>PROPUESTA</vt:lpstr>
      <vt:lpstr>PROPUESTA!Área_de_impresión</vt:lpstr>
      <vt:lpstr>'RIO VERDE 1 ARRIBA'!Área_de_impresión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GRACIA</dc:creator>
  <cp:lastModifiedBy>Orly P.</cp:lastModifiedBy>
  <cp:lastPrinted>2025-09-12T17:55:33Z</cp:lastPrinted>
  <dcterms:created xsi:type="dcterms:W3CDTF">2016-02-07T04:14:31Z</dcterms:created>
  <dcterms:modified xsi:type="dcterms:W3CDTF">2025-09-12T17:58:38Z</dcterms:modified>
</cp:coreProperties>
</file>